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IC0922 - Hidráulica II\2019-I\Clase 1 - Flujo Uniforme Permanente\"/>
    </mc:Choice>
  </mc:AlternateContent>
  <xr:revisionPtr revIDLastSave="0" documentId="13_ncr:1_{C60343AA-903D-4FE7-9E59-2EA6C4DC0DA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E151" i="2"/>
  <c r="D3" i="2"/>
  <c r="D4" i="2" s="1"/>
  <c r="D5" i="2" s="1"/>
  <c r="I2" i="2"/>
  <c r="I3" i="2" l="1"/>
  <c r="A4" i="2"/>
  <c r="I4" i="2"/>
  <c r="D6" i="2"/>
  <c r="E2" i="2"/>
  <c r="G2" i="2" s="1"/>
  <c r="E3" i="2"/>
  <c r="F3" i="2" s="1"/>
  <c r="E4" i="2" l="1"/>
  <c r="A5" i="2"/>
  <c r="D7" i="2"/>
  <c r="G3" i="2"/>
  <c r="H3" i="2" s="1"/>
  <c r="F2" i="2"/>
  <c r="H2" i="2" s="1"/>
  <c r="M4" i="1"/>
  <c r="M5" i="1"/>
  <c r="M6" i="1"/>
  <c r="M7" i="1"/>
  <c r="M8" i="1"/>
  <c r="M9" i="1"/>
  <c r="M10" i="1"/>
  <c r="M11" i="1"/>
  <c r="M12" i="1"/>
  <c r="M3" i="1"/>
  <c r="G5" i="2" l="1"/>
  <c r="A6" i="2"/>
  <c r="I5" i="2"/>
  <c r="E5" i="2"/>
  <c r="F5" i="2" s="1"/>
  <c r="F4" i="2"/>
  <c r="G4" i="2"/>
  <c r="H4" i="2" s="1"/>
  <c r="D8" i="2"/>
  <c r="P12" i="1"/>
  <c r="O12" i="1"/>
  <c r="N12" i="1"/>
  <c r="P11" i="1"/>
  <c r="O11" i="1"/>
  <c r="N11" i="1"/>
  <c r="P10" i="1"/>
  <c r="O10" i="1"/>
  <c r="N10" i="1"/>
  <c r="P9" i="1"/>
  <c r="O9" i="1"/>
  <c r="N9" i="1"/>
  <c r="P8" i="1"/>
  <c r="O8" i="1"/>
  <c r="N8" i="1"/>
  <c r="P7" i="1"/>
  <c r="O7" i="1"/>
  <c r="N7" i="1"/>
  <c r="P6" i="1"/>
  <c r="O6" i="1"/>
  <c r="N6" i="1"/>
  <c r="P5" i="1"/>
  <c r="O5" i="1"/>
  <c r="N5" i="1"/>
  <c r="P4" i="1"/>
  <c r="O4" i="1"/>
  <c r="N4" i="1"/>
  <c r="R10" i="1"/>
  <c r="R9" i="1"/>
  <c r="Q12" i="1"/>
  <c r="Q11" i="1"/>
  <c r="Q5" i="1"/>
  <c r="R6" i="1"/>
  <c r="R11" i="1"/>
  <c r="Q7" i="1"/>
  <c r="R4" i="1"/>
  <c r="Q6" i="1"/>
  <c r="R7" i="1"/>
  <c r="Q9" i="1"/>
  <c r="Q8" i="1"/>
  <c r="R5" i="1"/>
  <c r="R12" i="1"/>
  <c r="R8" i="1"/>
  <c r="Q10" i="1"/>
  <c r="Q4" i="1"/>
  <c r="A7" i="2" l="1"/>
  <c r="E6" i="2"/>
  <c r="I6" i="2"/>
  <c r="F6" i="2"/>
  <c r="G6" i="2"/>
  <c r="H5" i="2"/>
  <c r="H6" i="2"/>
  <c r="D9" i="2"/>
  <c r="P3" i="1"/>
  <c r="O3" i="1"/>
  <c r="N3" i="1"/>
  <c r="A8" i="2" l="1"/>
  <c r="I7" i="2"/>
  <c r="E7" i="2"/>
  <c r="F7" i="2" s="1"/>
  <c r="D10" i="2"/>
  <c r="E4" i="1"/>
  <c r="E5" i="1"/>
  <c r="E6" i="1"/>
  <c r="E7" i="1"/>
  <c r="E8" i="1"/>
  <c r="E9" i="1"/>
  <c r="E10" i="1"/>
  <c r="E11" i="1"/>
  <c r="E12" i="1"/>
  <c r="E3" i="1"/>
  <c r="B4" i="1"/>
  <c r="C4" i="1"/>
  <c r="D4" i="1"/>
  <c r="F4" i="1"/>
  <c r="G4" i="1"/>
  <c r="B5" i="1"/>
  <c r="C5" i="1"/>
  <c r="D5" i="1"/>
  <c r="F5" i="1"/>
  <c r="G5" i="1"/>
  <c r="B6" i="1"/>
  <c r="C6" i="1"/>
  <c r="D6" i="1"/>
  <c r="F6" i="1"/>
  <c r="G6" i="1"/>
  <c r="B7" i="1"/>
  <c r="C7" i="1"/>
  <c r="D7" i="1"/>
  <c r="F7" i="1"/>
  <c r="G7" i="1"/>
  <c r="B8" i="1"/>
  <c r="C8" i="1"/>
  <c r="D8" i="1"/>
  <c r="F8" i="1"/>
  <c r="G8" i="1"/>
  <c r="B9" i="1"/>
  <c r="C9" i="1"/>
  <c r="D9" i="1"/>
  <c r="F9" i="1"/>
  <c r="G9" i="1"/>
  <c r="B10" i="1"/>
  <c r="C10" i="1"/>
  <c r="D10" i="1"/>
  <c r="F10" i="1"/>
  <c r="G10" i="1"/>
  <c r="B11" i="1"/>
  <c r="C11" i="1"/>
  <c r="D11" i="1"/>
  <c r="F11" i="1"/>
  <c r="G11" i="1"/>
  <c r="B12" i="1"/>
  <c r="C12" i="1"/>
  <c r="D12" i="1"/>
  <c r="F12" i="1"/>
  <c r="G12" i="1"/>
  <c r="B3" i="1"/>
  <c r="C3" i="1"/>
  <c r="D3" i="1"/>
  <c r="G3" i="1"/>
  <c r="F3" i="1"/>
  <c r="H10" i="1"/>
  <c r="I11" i="1"/>
  <c r="H12" i="1"/>
  <c r="H8" i="1"/>
  <c r="I7" i="1"/>
  <c r="I4" i="1"/>
  <c r="I10" i="1"/>
  <c r="H5" i="1"/>
  <c r="H9" i="1"/>
  <c r="I6" i="1"/>
  <c r="I9" i="1"/>
  <c r="H6" i="1"/>
  <c r="H4" i="1"/>
  <c r="I5" i="1"/>
  <c r="H11" i="1"/>
  <c r="I8" i="1"/>
  <c r="I12" i="1"/>
  <c r="H7" i="1"/>
  <c r="H7" i="2" l="1"/>
  <c r="A9" i="2"/>
  <c r="I8" i="2"/>
  <c r="E8" i="2"/>
  <c r="G7" i="2"/>
  <c r="D11" i="2"/>
  <c r="L4" i="1"/>
  <c r="L5" i="1" s="1"/>
  <c r="L6" i="1" s="1"/>
  <c r="L7" i="1" s="1"/>
  <c r="L8" i="1" s="1"/>
  <c r="L9" i="1" s="1"/>
  <c r="L10" i="1" s="1"/>
  <c r="L11" i="1" s="1"/>
  <c r="L12" i="1" s="1"/>
  <c r="A4" i="1"/>
  <c r="A5" i="1" s="1"/>
  <c r="A6" i="1" s="1"/>
  <c r="A7" i="1" s="1"/>
  <c r="A8" i="1" s="1"/>
  <c r="A9" i="1" s="1"/>
  <c r="A10" i="1" s="1"/>
  <c r="A11" i="1" s="1"/>
  <c r="A12" i="1" s="1"/>
  <c r="R3" i="1"/>
  <c r="H3" i="1"/>
  <c r="Q3" i="1"/>
  <c r="I3" i="1"/>
  <c r="A10" i="2" l="1"/>
  <c r="I9" i="2"/>
  <c r="E9" i="2"/>
  <c r="G9" i="2" s="1"/>
  <c r="F8" i="2"/>
  <c r="H8" i="2" s="1"/>
  <c r="G8" i="2"/>
  <c r="D12" i="2"/>
  <c r="A11" i="2" l="1"/>
  <c r="E10" i="2"/>
  <c r="G10" i="2" s="1"/>
  <c r="I10" i="2"/>
  <c r="F9" i="2"/>
  <c r="H9" i="2" s="1"/>
  <c r="D13" i="2"/>
  <c r="A12" i="2" l="1"/>
  <c r="E11" i="2"/>
  <c r="I11" i="2"/>
  <c r="G11" i="2"/>
  <c r="F11" i="2"/>
  <c r="F10" i="2"/>
  <c r="H10" i="2" s="1"/>
  <c r="D14" i="2"/>
  <c r="H11" i="2"/>
  <c r="G12" i="2" l="1"/>
  <c r="A13" i="2"/>
  <c r="I12" i="2"/>
  <c r="E12" i="2"/>
  <c r="F12" i="2" s="1"/>
  <c r="H12" i="2" s="1"/>
  <c r="D15" i="2"/>
  <c r="F13" i="2" l="1"/>
  <c r="H13" i="2" s="1"/>
  <c r="G13" i="2"/>
  <c r="A14" i="2"/>
  <c r="I13" i="2"/>
  <c r="E13" i="2"/>
  <c r="D16" i="2"/>
  <c r="A15" i="2" l="1"/>
  <c r="E14" i="2"/>
  <c r="I14" i="2"/>
  <c r="D17" i="2"/>
  <c r="G14" i="2" l="1"/>
  <c r="F14" i="2"/>
  <c r="H14" i="2" s="1"/>
  <c r="A16" i="2"/>
  <c r="I15" i="2"/>
  <c r="E15" i="2"/>
  <c r="D18" i="2"/>
  <c r="A17" i="2" l="1"/>
  <c r="I16" i="2"/>
  <c r="E16" i="2"/>
  <c r="G15" i="2"/>
  <c r="F15" i="2"/>
  <c r="H15" i="2" s="1"/>
  <c r="D19" i="2"/>
  <c r="F16" i="2" l="1"/>
  <c r="G16" i="2"/>
  <c r="A18" i="2"/>
  <c r="E17" i="2"/>
  <c r="I17" i="2"/>
  <c r="D20" i="2"/>
  <c r="F17" i="2" l="1"/>
  <c r="G17" i="2"/>
  <c r="A19" i="2"/>
  <c r="E18" i="2"/>
  <c r="I18" i="2"/>
  <c r="H16" i="2"/>
  <c r="D21" i="2"/>
  <c r="F18" i="2" l="1"/>
  <c r="H18" i="2" s="1"/>
  <c r="G18" i="2"/>
  <c r="A20" i="2"/>
  <c r="I19" i="2"/>
  <c r="E19" i="2"/>
  <c r="H17" i="2"/>
  <c r="D22" i="2"/>
  <c r="F19" i="2" l="1"/>
  <c r="G19" i="2"/>
  <c r="A21" i="2"/>
  <c r="E20" i="2"/>
  <c r="I20" i="2"/>
  <c r="D23" i="2"/>
  <c r="F20" i="2" l="1"/>
  <c r="G20" i="2"/>
  <c r="A22" i="2"/>
  <c r="E21" i="2"/>
  <c r="I21" i="2"/>
  <c r="H19" i="2"/>
  <c r="D24" i="2"/>
  <c r="A23" i="2" l="1"/>
  <c r="I22" i="2"/>
  <c r="E22" i="2"/>
  <c r="F21" i="2"/>
  <c r="H21" i="2" s="1"/>
  <c r="G21" i="2"/>
  <c r="H20" i="2"/>
  <c r="D25" i="2"/>
  <c r="F22" i="2" l="1"/>
  <c r="G22" i="2"/>
  <c r="A24" i="2"/>
  <c r="I23" i="2"/>
  <c r="E23" i="2"/>
  <c r="D26" i="2"/>
  <c r="G23" i="2" l="1"/>
  <c r="F23" i="2"/>
  <c r="H23" i="2" s="1"/>
  <c r="A25" i="2"/>
  <c r="I24" i="2"/>
  <c r="E24" i="2"/>
  <c r="H22" i="2"/>
  <c r="D27" i="2"/>
  <c r="F24" i="2" l="1"/>
  <c r="G24" i="2"/>
  <c r="A26" i="2"/>
  <c r="I25" i="2"/>
  <c r="E25" i="2"/>
  <c r="D28" i="2"/>
  <c r="F25" i="2" l="1"/>
  <c r="G25" i="2"/>
  <c r="A27" i="2"/>
  <c r="E26" i="2"/>
  <c r="I26" i="2"/>
  <c r="H24" i="2"/>
  <c r="D29" i="2"/>
  <c r="F26" i="2" l="1"/>
  <c r="G26" i="2"/>
  <c r="A28" i="2"/>
  <c r="I27" i="2"/>
  <c r="E27" i="2"/>
  <c r="H25" i="2"/>
  <c r="D30" i="2"/>
  <c r="F27" i="2" l="1"/>
  <c r="G27" i="2"/>
  <c r="A29" i="2"/>
  <c r="E28" i="2"/>
  <c r="I28" i="2"/>
  <c r="H26" i="2"/>
  <c r="D31" i="2"/>
  <c r="G28" i="2" l="1"/>
  <c r="F28" i="2"/>
  <c r="H28" i="2" s="1"/>
  <c r="A30" i="2"/>
  <c r="E29" i="2"/>
  <c r="I29" i="2"/>
  <c r="H27" i="2"/>
  <c r="D32" i="2"/>
  <c r="F29" i="2" l="1"/>
  <c r="G29" i="2"/>
  <c r="A31" i="2"/>
  <c r="I30" i="2"/>
  <c r="E30" i="2"/>
  <c r="D33" i="2"/>
  <c r="F30" i="2" l="1"/>
  <c r="G30" i="2"/>
  <c r="A32" i="2"/>
  <c r="I31" i="2"/>
  <c r="E31" i="2"/>
  <c r="H29" i="2"/>
  <c r="D34" i="2"/>
  <c r="G31" i="2" l="1"/>
  <c r="F31" i="2"/>
  <c r="H31" i="2" s="1"/>
  <c r="A33" i="2"/>
  <c r="I32" i="2"/>
  <c r="E32" i="2"/>
  <c r="H30" i="2"/>
  <c r="D35" i="2"/>
  <c r="A34" i="2" l="1"/>
  <c r="I33" i="2"/>
  <c r="E33" i="2"/>
  <c r="G32" i="2"/>
  <c r="F32" i="2"/>
  <c r="H32" i="2" s="1"/>
  <c r="D36" i="2"/>
  <c r="F33" i="2" l="1"/>
  <c r="G33" i="2"/>
  <c r="A35" i="2"/>
  <c r="E34" i="2"/>
  <c r="I34" i="2"/>
  <c r="D37" i="2"/>
  <c r="F34" i="2" l="1"/>
  <c r="G34" i="2"/>
  <c r="A36" i="2"/>
  <c r="E35" i="2"/>
  <c r="I35" i="2"/>
  <c r="H33" i="2"/>
  <c r="D38" i="2"/>
  <c r="G35" i="2" l="1"/>
  <c r="F35" i="2"/>
  <c r="H35" i="2" s="1"/>
  <c r="A37" i="2"/>
  <c r="I36" i="2"/>
  <c r="E36" i="2"/>
  <c r="H34" i="2"/>
  <c r="D39" i="2"/>
  <c r="G36" i="2" l="1"/>
  <c r="F36" i="2"/>
  <c r="H36" i="2" s="1"/>
  <c r="A38" i="2"/>
  <c r="E37" i="2"/>
  <c r="I37" i="2"/>
  <c r="D40" i="2"/>
  <c r="G37" i="2" l="1"/>
  <c r="F37" i="2"/>
  <c r="H37" i="2" s="1"/>
  <c r="A39" i="2"/>
  <c r="E38" i="2"/>
  <c r="I38" i="2"/>
  <c r="D41" i="2"/>
  <c r="G38" i="2" l="1"/>
  <c r="F38" i="2"/>
  <c r="H38" i="2" s="1"/>
  <c r="A40" i="2"/>
  <c r="I39" i="2"/>
  <c r="E39" i="2"/>
  <c r="D42" i="2"/>
  <c r="F39" i="2" l="1"/>
  <c r="G39" i="2"/>
  <c r="A41" i="2"/>
  <c r="I40" i="2"/>
  <c r="E40" i="2"/>
  <c r="D43" i="2"/>
  <c r="F40" i="2" l="1"/>
  <c r="G40" i="2"/>
  <c r="A42" i="2"/>
  <c r="E41" i="2"/>
  <c r="I41" i="2"/>
  <c r="H39" i="2"/>
  <c r="D44" i="2"/>
  <c r="G41" i="2" l="1"/>
  <c r="F41" i="2"/>
  <c r="H41" i="2" s="1"/>
  <c r="A43" i="2"/>
  <c r="E42" i="2"/>
  <c r="I42" i="2"/>
  <c r="H40" i="2"/>
  <c r="D45" i="2"/>
  <c r="F42" i="2" l="1"/>
  <c r="G42" i="2"/>
  <c r="A44" i="2"/>
  <c r="I43" i="2"/>
  <c r="E43" i="2"/>
  <c r="D46" i="2"/>
  <c r="F43" i="2" l="1"/>
  <c r="G43" i="2"/>
  <c r="A45" i="2"/>
  <c r="E44" i="2"/>
  <c r="I44" i="2"/>
  <c r="H42" i="2"/>
  <c r="D47" i="2"/>
  <c r="G44" i="2" l="1"/>
  <c r="F44" i="2"/>
  <c r="H44" i="2" s="1"/>
  <c r="A46" i="2"/>
  <c r="E45" i="2"/>
  <c r="I45" i="2"/>
  <c r="H43" i="2"/>
  <c r="D48" i="2"/>
  <c r="F45" i="2" l="1"/>
  <c r="G45" i="2"/>
  <c r="A47" i="2"/>
  <c r="E46" i="2"/>
  <c r="I46" i="2"/>
  <c r="D49" i="2"/>
  <c r="F46" i="2" l="1"/>
  <c r="G46" i="2"/>
  <c r="A48" i="2"/>
  <c r="I47" i="2"/>
  <c r="E47" i="2"/>
  <c r="H45" i="2"/>
  <c r="D50" i="2"/>
  <c r="F47" i="2" l="1"/>
  <c r="G47" i="2"/>
  <c r="A49" i="2"/>
  <c r="E48" i="2"/>
  <c r="I48" i="2"/>
  <c r="H46" i="2"/>
  <c r="D51" i="2"/>
  <c r="G48" i="2" l="1"/>
  <c r="F48" i="2"/>
  <c r="H48" i="2" s="1"/>
  <c r="A50" i="2"/>
  <c r="E49" i="2"/>
  <c r="I49" i="2"/>
  <c r="H47" i="2"/>
  <c r="D52" i="2"/>
  <c r="G49" i="2" l="1"/>
  <c r="F49" i="2"/>
  <c r="H49" i="2" s="1"/>
  <c r="A51" i="2"/>
  <c r="I50" i="2"/>
  <c r="E50" i="2"/>
  <c r="D53" i="2"/>
  <c r="F50" i="2" l="1"/>
  <c r="G50" i="2"/>
  <c r="A52" i="2"/>
  <c r="E51" i="2"/>
  <c r="I51" i="2"/>
  <c r="D54" i="2"/>
  <c r="F51" i="2" l="1"/>
  <c r="G51" i="2"/>
  <c r="A53" i="2"/>
  <c r="E52" i="2"/>
  <c r="I52" i="2"/>
  <c r="H50" i="2"/>
  <c r="D55" i="2"/>
  <c r="F52" i="2" l="1"/>
  <c r="G52" i="2"/>
  <c r="A54" i="2"/>
  <c r="E53" i="2"/>
  <c r="I53" i="2"/>
  <c r="H51" i="2"/>
  <c r="D56" i="2"/>
  <c r="G53" i="2" l="1"/>
  <c r="F53" i="2"/>
  <c r="H53" i="2" s="1"/>
  <c r="A55" i="2"/>
  <c r="E54" i="2"/>
  <c r="I54" i="2"/>
  <c r="H52" i="2"/>
  <c r="D57" i="2"/>
  <c r="F54" i="2" l="1"/>
  <c r="G54" i="2"/>
  <c r="A56" i="2"/>
  <c r="I55" i="2"/>
  <c r="E55" i="2"/>
  <c r="D58" i="2"/>
  <c r="G55" i="2" l="1"/>
  <c r="F55" i="2"/>
  <c r="H55" i="2" s="1"/>
  <c r="A57" i="2"/>
  <c r="I56" i="2"/>
  <c r="E56" i="2"/>
  <c r="H54" i="2"/>
  <c r="D59" i="2"/>
  <c r="A58" i="2" l="1"/>
  <c r="I57" i="2"/>
  <c r="E57" i="2"/>
  <c r="G56" i="2"/>
  <c r="F56" i="2"/>
  <c r="H56" i="2" s="1"/>
  <c r="D60" i="2"/>
  <c r="F57" i="2" l="1"/>
  <c r="G57" i="2"/>
  <c r="A59" i="2"/>
  <c r="I58" i="2"/>
  <c r="E58" i="2"/>
  <c r="D61" i="2"/>
  <c r="G58" i="2" l="1"/>
  <c r="F58" i="2"/>
  <c r="H58" i="2" s="1"/>
  <c r="A60" i="2"/>
  <c r="E59" i="2"/>
  <c r="I59" i="2"/>
  <c r="H57" i="2"/>
  <c r="D62" i="2"/>
  <c r="F59" i="2" l="1"/>
  <c r="G59" i="2"/>
  <c r="A61" i="2"/>
  <c r="E60" i="2"/>
  <c r="I60" i="2"/>
  <c r="D63" i="2"/>
  <c r="F60" i="2" l="1"/>
  <c r="G60" i="2"/>
  <c r="A62" i="2"/>
  <c r="I61" i="2"/>
  <c r="E61" i="2"/>
  <c r="H59" i="2"/>
  <c r="D64" i="2"/>
  <c r="G61" i="2" l="1"/>
  <c r="F61" i="2"/>
  <c r="H61" i="2" s="1"/>
  <c r="A63" i="2"/>
  <c r="I62" i="2"/>
  <c r="E62" i="2"/>
  <c r="H60" i="2"/>
  <c r="D65" i="2"/>
  <c r="G62" i="2" l="1"/>
  <c r="F62" i="2"/>
  <c r="H62" i="2" s="1"/>
  <c r="A64" i="2"/>
  <c r="E63" i="2"/>
  <c r="I63" i="2"/>
  <c r="D66" i="2"/>
  <c r="G63" i="2" l="1"/>
  <c r="F63" i="2"/>
  <c r="H63" i="2" s="1"/>
  <c r="A65" i="2"/>
  <c r="E64" i="2"/>
  <c r="I64" i="2"/>
  <c r="D67" i="2"/>
  <c r="F64" i="2" l="1"/>
  <c r="G64" i="2"/>
  <c r="A66" i="2"/>
  <c r="E65" i="2"/>
  <c r="I65" i="2"/>
  <c r="D68" i="2"/>
  <c r="G65" i="2" l="1"/>
  <c r="F65" i="2"/>
  <c r="H65" i="2" s="1"/>
  <c r="A67" i="2"/>
  <c r="E66" i="2"/>
  <c r="I66" i="2"/>
  <c r="H64" i="2"/>
  <c r="D69" i="2"/>
  <c r="G66" i="2" l="1"/>
  <c r="F66" i="2"/>
  <c r="H66" i="2" s="1"/>
  <c r="A68" i="2"/>
  <c r="E67" i="2"/>
  <c r="I67" i="2"/>
  <c r="D70" i="2"/>
  <c r="G67" i="2" l="1"/>
  <c r="F67" i="2"/>
  <c r="H67" i="2" s="1"/>
  <c r="A69" i="2"/>
  <c r="E68" i="2"/>
  <c r="I68" i="2"/>
  <c r="D71" i="2"/>
  <c r="G68" i="2" l="1"/>
  <c r="F68" i="2"/>
  <c r="H68" i="2" s="1"/>
  <c r="A70" i="2"/>
  <c r="E69" i="2"/>
  <c r="I69" i="2"/>
  <c r="D72" i="2"/>
  <c r="G69" i="2" l="1"/>
  <c r="F69" i="2"/>
  <c r="H69" i="2" s="1"/>
  <c r="A71" i="2"/>
  <c r="E70" i="2"/>
  <c r="I70" i="2"/>
  <c r="D73" i="2"/>
  <c r="G70" i="2" l="1"/>
  <c r="F70" i="2"/>
  <c r="H70" i="2" s="1"/>
  <c r="A72" i="2"/>
  <c r="E71" i="2"/>
  <c r="I71" i="2"/>
  <c r="D74" i="2"/>
  <c r="A73" i="2" l="1"/>
  <c r="I72" i="2"/>
  <c r="E72" i="2"/>
  <c r="F71" i="2"/>
  <c r="H71" i="2" s="1"/>
  <c r="G71" i="2"/>
  <c r="D75" i="2"/>
  <c r="G72" i="2" l="1"/>
  <c r="F72" i="2"/>
  <c r="H72" i="2" s="1"/>
  <c r="A74" i="2"/>
  <c r="I73" i="2"/>
  <c r="E73" i="2"/>
  <c r="D76" i="2"/>
  <c r="A75" i="2" l="1"/>
  <c r="E74" i="2"/>
  <c r="I74" i="2"/>
  <c r="F73" i="2"/>
  <c r="G73" i="2"/>
  <c r="D77" i="2"/>
  <c r="H73" i="2" l="1"/>
  <c r="G74" i="2"/>
  <c r="F74" i="2"/>
  <c r="H74" i="2" s="1"/>
  <c r="A76" i="2"/>
  <c r="E75" i="2"/>
  <c r="I75" i="2"/>
  <c r="D78" i="2"/>
  <c r="G75" i="2" l="1"/>
  <c r="F75" i="2"/>
  <c r="H75" i="2" s="1"/>
  <c r="A77" i="2"/>
  <c r="E76" i="2"/>
  <c r="I76" i="2"/>
  <c r="D79" i="2"/>
  <c r="F76" i="2" l="1"/>
  <c r="G76" i="2"/>
  <c r="A78" i="2"/>
  <c r="I77" i="2"/>
  <c r="E77" i="2"/>
  <c r="D80" i="2"/>
  <c r="F77" i="2" l="1"/>
  <c r="G77" i="2"/>
  <c r="A79" i="2"/>
  <c r="I78" i="2"/>
  <c r="E78" i="2"/>
  <c r="H76" i="2"/>
  <c r="D81" i="2"/>
  <c r="F78" i="2" l="1"/>
  <c r="G78" i="2"/>
  <c r="A80" i="2"/>
  <c r="E79" i="2"/>
  <c r="I79" i="2"/>
  <c r="H77" i="2"/>
  <c r="D82" i="2"/>
  <c r="F79" i="2" l="1"/>
  <c r="G79" i="2"/>
  <c r="A81" i="2"/>
  <c r="E80" i="2"/>
  <c r="I80" i="2"/>
  <c r="H78" i="2"/>
  <c r="D83" i="2"/>
  <c r="F80" i="2" l="1"/>
  <c r="G80" i="2"/>
  <c r="A82" i="2"/>
  <c r="E81" i="2"/>
  <c r="I81" i="2"/>
  <c r="H79" i="2"/>
  <c r="D84" i="2"/>
  <c r="F81" i="2" l="1"/>
  <c r="G81" i="2"/>
  <c r="A83" i="2"/>
  <c r="E82" i="2"/>
  <c r="I82" i="2"/>
  <c r="H80" i="2"/>
  <c r="D85" i="2"/>
  <c r="F82" i="2" l="1"/>
  <c r="G82" i="2"/>
  <c r="A84" i="2"/>
  <c r="I83" i="2"/>
  <c r="E83" i="2"/>
  <c r="H81" i="2"/>
  <c r="D86" i="2"/>
  <c r="F83" i="2" l="1"/>
  <c r="G83" i="2"/>
  <c r="A85" i="2"/>
  <c r="I84" i="2"/>
  <c r="E84" i="2"/>
  <c r="H82" i="2"/>
  <c r="D87" i="2"/>
  <c r="G84" i="2" l="1"/>
  <c r="F84" i="2"/>
  <c r="H84" i="2" s="1"/>
  <c r="A86" i="2"/>
  <c r="E85" i="2"/>
  <c r="I85" i="2"/>
  <c r="H83" i="2"/>
  <c r="D88" i="2"/>
  <c r="G85" i="2" l="1"/>
  <c r="F85" i="2"/>
  <c r="H85" i="2" s="1"/>
  <c r="A87" i="2"/>
  <c r="I86" i="2"/>
  <c r="E86" i="2"/>
  <c r="D89" i="2"/>
  <c r="F86" i="2" l="1"/>
  <c r="G86" i="2"/>
  <c r="A88" i="2"/>
  <c r="I87" i="2"/>
  <c r="E87" i="2"/>
  <c r="D90" i="2"/>
  <c r="G87" i="2" l="1"/>
  <c r="F87" i="2"/>
  <c r="H87" i="2" s="1"/>
  <c r="A89" i="2"/>
  <c r="E88" i="2"/>
  <c r="I88" i="2"/>
  <c r="H86" i="2"/>
  <c r="D91" i="2"/>
  <c r="F88" i="2" l="1"/>
  <c r="G88" i="2"/>
  <c r="A90" i="2"/>
  <c r="I89" i="2"/>
  <c r="E89" i="2"/>
  <c r="D92" i="2"/>
  <c r="G89" i="2" l="1"/>
  <c r="F89" i="2"/>
  <c r="H89" i="2" s="1"/>
  <c r="A91" i="2"/>
  <c r="E90" i="2"/>
  <c r="I90" i="2"/>
  <c r="H88" i="2"/>
  <c r="D93" i="2"/>
  <c r="G90" i="2" l="1"/>
  <c r="F90" i="2"/>
  <c r="H90" i="2" s="1"/>
  <c r="A92" i="2"/>
  <c r="I91" i="2"/>
  <c r="E91" i="2"/>
  <c r="D94" i="2"/>
  <c r="A93" i="2" l="1"/>
  <c r="I92" i="2"/>
  <c r="E92" i="2"/>
  <c r="F91" i="2"/>
  <c r="H91" i="2" s="1"/>
  <c r="G91" i="2"/>
  <c r="D95" i="2"/>
  <c r="G92" i="2" l="1"/>
  <c r="F92" i="2"/>
  <c r="H92" i="2" s="1"/>
  <c r="A94" i="2"/>
  <c r="E93" i="2"/>
  <c r="I93" i="2"/>
  <c r="D96" i="2"/>
  <c r="F93" i="2" l="1"/>
  <c r="G93" i="2"/>
  <c r="A95" i="2"/>
  <c r="E94" i="2"/>
  <c r="I94" i="2"/>
  <c r="D97" i="2"/>
  <c r="G94" i="2" l="1"/>
  <c r="F94" i="2"/>
  <c r="H94" i="2" s="1"/>
  <c r="A96" i="2"/>
  <c r="E95" i="2"/>
  <c r="I95" i="2"/>
  <c r="H93" i="2"/>
  <c r="D98" i="2"/>
  <c r="F95" i="2" l="1"/>
  <c r="G95" i="2"/>
  <c r="A97" i="2"/>
  <c r="E96" i="2"/>
  <c r="I96" i="2"/>
  <c r="D99" i="2"/>
  <c r="G96" i="2" l="1"/>
  <c r="F96" i="2"/>
  <c r="H96" i="2" s="1"/>
  <c r="A98" i="2"/>
  <c r="E97" i="2"/>
  <c r="I97" i="2"/>
  <c r="H95" i="2"/>
  <c r="D100" i="2"/>
  <c r="F97" i="2" l="1"/>
  <c r="G97" i="2"/>
  <c r="A99" i="2"/>
  <c r="I98" i="2"/>
  <c r="E98" i="2"/>
  <c r="D101" i="2"/>
  <c r="G98" i="2" l="1"/>
  <c r="F98" i="2"/>
  <c r="H98" i="2" s="1"/>
  <c r="A100" i="2"/>
  <c r="I99" i="2"/>
  <c r="E99" i="2"/>
  <c r="H97" i="2"/>
  <c r="D102" i="2"/>
  <c r="F99" i="2" l="1"/>
  <c r="G99" i="2"/>
  <c r="A101" i="2"/>
  <c r="E100" i="2"/>
  <c r="I100" i="2"/>
  <c r="D103" i="2"/>
  <c r="F100" i="2" l="1"/>
  <c r="G100" i="2"/>
  <c r="A102" i="2"/>
  <c r="E101" i="2"/>
  <c r="I101" i="2"/>
  <c r="H99" i="2"/>
  <c r="D104" i="2"/>
  <c r="F101" i="2" l="1"/>
  <c r="G101" i="2"/>
  <c r="A103" i="2"/>
  <c r="I102" i="2"/>
  <c r="E102" i="2"/>
  <c r="H100" i="2"/>
  <c r="D105" i="2"/>
  <c r="F102" i="2" l="1"/>
  <c r="G102" i="2"/>
  <c r="A104" i="2"/>
  <c r="E103" i="2"/>
  <c r="I103" i="2"/>
  <c r="H101" i="2"/>
  <c r="D106" i="2"/>
  <c r="G103" i="2" l="1"/>
  <c r="F103" i="2"/>
  <c r="H103" i="2" s="1"/>
  <c r="A105" i="2"/>
  <c r="E104" i="2"/>
  <c r="I104" i="2"/>
  <c r="H102" i="2"/>
  <c r="D107" i="2"/>
  <c r="F104" i="2" l="1"/>
  <c r="G104" i="2"/>
  <c r="A106" i="2"/>
  <c r="E105" i="2"/>
  <c r="I105" i="2"/>
  <c r="D108" i="2"/>
  <c r="F105" i="2" l="1"/>
  <c r="G105" i="2"/>
  <c r="A107" i="2"/>
  <c r="E106" i="2"/>
  <c r="I106" i="2"/>
  <c r="H104" i="2"/>
  <c r="D109" i="2"/>
  <c r="G106" i="2" l="1"/>
  <c r="F106" i="2"/>
  <c r="H106" i="2" s="1"/>
  <c r="A108" i="2"/>
  <c r="E107" i="2"/>
  <c r="I107" i="2"/>
  <c r="H105" i="2"/>
  <c r="D110" i="2"/>
  <c r="G107" i="2" l="1"/>
  <c r="F107" i="2"/>
  <c r="H107" i="2" s="1"/>
  <c r="A109" i="2"/>
  <c r="E108" i="2"/>
  <c r="I108" i="2"/>
  <c r="D111" i="2"/>
  <c r="F108" i="2" l="1"/>
  <c r="G108" i="2"/>
  <c r="A110" i="2"/>
  <c r="E109" i="2"/>
  <c r="I109" i="2"/>
  <c r="D112" i="2"/>
  <c r="F109" i="2" l="1"/>
  <c r="G109" i="2"/>
  <c r="A111" i="2"/>
  <c r="I110" i="2"/>
  <c r="E110" i="2"/>
  <c r="H108" i="2"/>
  <c r="D113" i="2"/>
  <c r="G110" i="2" l="1"/>
  <c r="F110" i="2"/>
  <c r="H110" i="2" s="1"/>
  <c r="A112" i="2"/>
  <c r="E111" i="2"/>
  <c r="I111" i="2"/>
  <c r="H109" i="2"/>
  <c r="D114" i="2"/>
  <c r="G111" i="2" l="1"/>
  <c r="F111" i="2"/>
  <c r="H111" i="2" s="1"/>
  <c r="A113" i="2"/>
  <c r="E112" i="2"/>
  <c r="I112" i="2"/>
  <c r="D115" i="2"/>
  <c r="A114" i="2" l="1"/>
  <c r="I113" i="2"/>
  <c r="E113" i="2"/>
  <c r="G112" i="2"/>
  <c r="F112" i="2"/>
  <c r="H112" i="2" s="1"/>
  <c r="D116" i="2"/>
  <c r="F113" i="2" l="1"/>
  <c r="G113" i="2"/>
  <c r="A115" i="2"/>
  <c r="E114" i="2"/>
  <c r="I114" i="2"/>
  <c r="D117" i="2"/>
  <c r="F114" i="2" l="1"/>
  <c r="G114" i="2"/>
  <c r="A116" i="2"/>
  <c r="I115" i="2"/>
  <c r="E115" i="2"/>
  <c r="H113" i="2"/>
  <c r="D118" i="2"/>
  <c r="F115" i="2" l="1"/>
  <c r="G115" i="2"/>
  <c r="A117" i="2"/>
  <c r="E116" i="2"/>
  <c r="I116" i="2"/>
  <c r="H114" i="2"/>
  <c r="D119" i="2"/>
  <c r="F116" i="2" l="1"/>
  <c r="G116" i="2"/>
  <c r="A118" i="2"/>
  <c r="I117" i="2"/>
  <c r="E117" i="2"/>
  <c r="H115" i="2"/>
  <c r="D120" i="2"/>
  <c r="F117" i="2" l="1"/>
  <c r="G117" i="2"/>
  <c r="A119" i="2"/>
  <c r="I118" i="2"/>
  <c r="E118" i="2"/>
  <c r="H116" i="2"/>
  <c r="D121" i="2"/>
  <c r="G118" i="2" l="1"/>
  <c r="F118" i="2"/>
  <c r="H118" i="2" s="1"/>
  <c r="A120" i="2"/>
  <c r="I119" i="2"/>
  <c r="E119" i="2"/>
  <c r="H117" i="2"/>
  <c r="D122" i="2"/>
  <c r="G119" i="2" l="1"/>
  <c r="F119" i="2"/>
  <c r="H119" i="2" s="1"/>
  <c r="A121" i="2"/>
  <c r="E120" i="2"/>
  <c r="I120" i="2"/>
  <c r="D123" i="2"/>
  <c r="G120" i="2" l="1"/>
  <c r="F120" i="2"/>
  <c r="H120" i="2" s="1"/>
  <c r="A122" i="2"/>
  <c r="I121" i="2"/>
  <c r="E121" i="2"/>
  <c r="D124" i="2"/>
  <c r="F121" i="2" l="1"/>
  <c r="G121" i="2"/>
  <c r="A123" i="2"/>
  <c r="I122" i="2"/>
  <c r="E122" i="2"/>
  <c r="D125" i="2"/>
  <c r="F122" i="2" l="1"/>
  <c r="G122" i="2"/>
  <c r="A124" i="2"/>
  <c r="E123" i="2"/>
  <c r="I123" i="2"/>
  <c r="H121" i="2"/>
  <c r="D126" i="2"/>
  <c r="F123" i="2" l="1"/>
  <c r="G123" i="2"/>
  <c r="A125" i="2"/>
  <c r="I124" i="2"/>
  <c r="E124" i="2"/>
  <c r="H122" i="2"/>
  <c r="D127" i="2"/>
  <c r="F124" i="2" l="1"/>
  <c r="G124" i="2"/>
  <c r="A126" i="2"/>
  <c r="I125" i="2"/>
  <c r="E125" i="2"/>
  <c r="H123" i="2"/>
  <c r="D128" i="2"/>
  <c r="G125" i="2" l="1"/>
  <c r="F125" i="2"/>
  <c r="H125" i="2" s="1"/>
  <c r="A127" i="2"/>
  <c r="E126" i="2"/>
  <c r="I126" i="2"/>
  <c r="H124" i="2"/>
  <c r="D129" i="2"/>
  <c r="G126" i="2" l="1"/>
  <c r="F126" i="2"/>
  <c r="H126" i="2" s="1"/>
  <c r="A128" i="2"/>
  <c r="I127" i="2"/>
  <c r="E127" i="2"/>
  <c r="D130" i="2"/>
  <c r="A129" i="2" l="1"/>
  <c r="E128" i="2"/>
  <c r="I128" i="2"/>
  <c r="F127" i="2"/>
  <c r="G127" i="2"/>
  <c r="D131" i="2"/>
  <c r="H127" i="2" l="1"/>
  <c r="F128" i="2"/>
  <c r="G128" i="2"/>
  <c r="A130" i="2"/>
  <c r="E129" i="2"/>
  <c r="I129" i="2"/>
  <c r="D132" i="2"/>
  <c r="G129" i="2" l="1"/>
  <c r="F129" i="2"/>
  <c r="H129" i="2" s="1"/>
  <c r="A131" i="2"/>
  <c r="E130" i="2"/>
  <c r="I130" i="2"/>
  <c r="H128" i="2"/>
  <c r="D133" i="2"/>
  <c r="A132" i="2" l="1"/>
  <c r="E131" i="2"/>
  <c r="I131" i="2"/>
  <c r="F130" i="2"/>
  <c r="H130" i="2" s="1"/>
  <c r="G130" i="2"/>
  <c r="D134" i="2"/>
  <c r="F131" i="2" l="1"/>
  <c r="G131" i="2"/>
  <c r="A133" i="2"/>
  <c r="I132" i="2"/>
  <c r="E132" i="2"/>
  <c r="D135" i="2"/>
  <c r="G132" i="2" l="1"/>
  <c r="F132" i="2"/>
  <c r="H132" i="2" s="1"/>
  <c r="A134" i="2"/>
  <c r="I133" i="2"/>
  <c r="E133" i="2"/>
  <c r="H131" i="2"/>
  <c r="D136" i="2"/>
  <c r="G133" i="2" l="1"/>
  <c r="F133" i="2"/>
  <c r="H133" i="2" s="1"/>
  <c r="A135" i="2"/>
  <c r="E134" i="2"/>
  <c r="I134" i="2"/>
  <c r="D137" i="2"/>
  <c r="G134" i="2" l="1"/>
  <c r="F134" i="2"/>
  <c r="H134" i="2" s="1"/>
  <c r="A136" i="2"/>
  <c r="I135" i="2"/>
  <c r="E135" i="2"/>
  <c r="D138" i="2"/>
  <c r="F135" i="2" l="1"/>
  <c r="G135" i="2"/>
  <c r="A137" i="2"/>
  <c r="I136" i="2"/>
  <c r="E136" i="2"/>
  <c r="D139" i="2"/>
  <c r="F136" i="2" l="1"/>
  <c r="G136" i="2"/>
  <c r="A138" i="2"/>
  <c r="E137" i="2"/>
  <c r="I137" i="2"/>
  <c r="H135" i="2"/>
  <c r="D140" i="2"/>
  <c r="F137" i="2" l="1"/>
  <c r="G137" i="2"/>
  <c r="A139" i="2"/>
  <c r="E138" i="2"/>
  <c r="I138" i="2"/>
  <c r="H136" i="2"/>
  <c r="D141" i="2"/>
  <c r="F138" i="2" l="1"/>
  <c r="G138" i="2"/>
  <c r="A140" i="2"/>
  <c r="E139" i="2"/>
  <c r="I139" i="2"/>
  <c r="H137" i="2"/>
  <c r="D142" i="2"/>
  <c r="F139" i="2" l="1"/>
  <c r="G139" i="2"/>
  <c r="A141" i="2"/>
  <c r="I140" i="2"/>
  <c r="E140" i="2"/>
  <c r="H138" i="2"/>
  <c r="D143" i="2"/>
  <c r="F140" i="2" l="1"/>
  <c r="G140" i="2"/>
  <c r="A142" i="2"/>
  <c r="I141" i="2"/>
  <c r="E141" i="2"/>
  <c r="H139" i="2"/>
  <c r="D144" i="2"/>
  <c r="F141" i="2" l="1"/>
  <c r="G141" i="2"/>
  <c r="A143" i="2"/>
  <c r="E142" i="2"/>
  <c r="I142" i="2"/>
  <c r="H140" i="2"/>
  <c r="D145" i="2"/>
  <c r="G142" i="2" l="1"/>
  <c r="F142" i="2"/>
  <c r="H142" i="2" s="1"/>
  <c r="A144" i="2"/>
  <c r="E143" i="2"/>
  <c r="I143" i="2"/>
  <c r="H141" i="2"/>
  <c r="D146" i="2"/>
  <c r="G143" i="2" l="1"/>
  <c r="F143" i="2"/>
  <c r="H143" i="2" s="1"/>
  <c r="A145" i="2"/>
  <c r="E144" i="2"/>
  <c r="I144" i="2"/>
  <c r="D147" i="2"/>
  <c r="F144" i="2" l="1"/>
  <c r="G144" i="2"/>
  <c r="A146" i="2"/>
  <c r="E145" i="2"/>
  <c r="I145" i="2"/>
  <c r="D148" i="2"/>
  <c r="F145" i="2" l="1"/>
  <c r="G145" i="2"/>
  <c r="A147" i="2"/>
  <c r="E146" i="2"/>
  <c r="I146" i="2"/>
  <c r="H144" i="2"/>
  <c r="D149" i="2"/>
  <c r="G146" i="2" l="1"/>
  <c r="F146" i="2"/>
  <c r="H146" i="2" s="1"/>
  <c r="A148" i="2"/>
  <c r="I147" i="2"/>
  <c r="E147" i="2"/>
  <c r="H145" i="2"/>
  <c r="D150" i="2"/>
  <c r="A149" i="2" l="1"/>
  <c r="I148" i="2"/>
  <c r="E148" i="2"/>
  <c r="F147" i="2"/>
  <c r="H147" i="2" s="1"/>
  <c r="G147" i="2"/>
  <c r="G148" i="2" l="1"/>
  <c r="F148" i="2"/>
  <c r="H148" i="2" s="1"/>
  <c r="A150" i="2"/>
  <c r="I149" i="2"/>
  <c r="E149" i="2"/>
  <c r="G149" i="2" l="1"/>
  <c r="F149" i="2"/>
  <c r="H149" i="2" s="1"/>
  <c r="A151" i="2"/>
  <c r="I151" i="2" s="1"/>
  <c r="E150" i="2"/>
  <c r="I150" i="2"/>
  <c r="G151" i="2"/>
  <c r="F151" i="2"/>
  <c r="H151" i="2" s="1"/>
  <c r="G150" i="2" l="1"/>
  <c r="F150" i="2"/>
  <c r="H150" i="2" s="1"/>
  <c r="J150" i="2" s="1"/>
  <c r="J151" i="2"/>
  <c r="J2" i="2"/>
  <c r="J4" i="2"/>
  <c r="J3" i="2"/>
  <c r="J5" i="2"/>
  <c r="J7" i="2"/>
  <c r="J6" i="2"/>
  <c r="J8" i="2"/>
  <c r="J10" i="2"/>
  <c r="J9" i="2"/>
  <c r="J12" i="2"/>
  <c r="J11" i="2"/>
  <c r="J13" i="2"/>
  <c r="J15" i="2"/>
  <c r="J14" i="2"/>
  <c r="J16" i="2"/>
  <c r="J17" i="2"/>
  <c r="J18" i="2"/>
  <c r="J19" i="2"/>
  <c r="J21" i="2"/>
  <c r="J20" i="2"/>
  <c r="J23" i="2"/>
  <c r="J22" i="2"/>
  <c r="J24" i="2"/>
  <c r="J25" i="2"/>
  <c r="J26" i="2"/>
  <c r="J27" i="2"/>
  <c r="J28" i="2"/>
  <c r="J29" i="2"/>
  <c r="J31" i="2"/>
  <c r="J30" i="2"/>
  <c r="J32" i="2"/>
  <c r="J33" i="2"/>
  <c r="J34" i="2"/>
  <c r="J36" i="2"/>
  <c r="J35" i="2"/>
  <c r="J37" i="2"/>
  <c r="J38" i="2"/>
  <c r="J39" i="2"/>
  <c r="J40" i="2"/>
  <c r="J41" i="2"/>
  <c r="J42" i="2"/>
  <c r="J43" i="2"/>
  <c r="J45" i="2"/>
  <c r="J44" i="2"/>
  <c r="J46" i="2"/>
  <c r="J47" i="2"/>
  <c r="J49" i="2"/>
  <c r="J48" i="2"/>
  <c r="J50" i="2"/>
  <c r="J51" i="2"/>
  <c r="J53" i="2"/>
  <c r="J52" i="2"/>
  <c r="J55" i="2"/>
  <c r="J54" i="2"/>
  <c r="J56" i="2"/>
  <c r="J58" i="2"/>
  <c r="J57" i="2"/>
  <c r="J59" i="2"/>
  <c r="J61" i="2"/>
  <c r="J60" i="2"/>
  <c r="J62" i="2"/>
  <c r="J63" i="2"/>
  <c r="J65" i="2"/>
  <c r="J64" i="2"/>
  <c r="J66" i="2"/>
  <c r="J68" i="2"/>
  <c r="J67" i="2"/>
  <c r="J69" i="2"/>
  <c r="J70" i="2"/>
  <c r="J71" i="2"/>
  <c r="J72" i="2"/>
  <c r="J73" i="2"/>
  <c r="J74" i="2"/>
  <c r="J75" i="2"/>
  <c r="J76" i="2"/>
  <c r="J77" i="2"/>
  <c r="J79" i="2"/>
  <c r="J78" i="2"/>
  <c r="J80" i="2"/>
  <c r="J81" i="2"/>
  <c r="J82" i="2"/>
  <c r="J83" i="2"/>
  <c r="J84" i="2"/>
  <c r="J85" i="2"/>
  <c r="J86" i="2"/>
  <c r="J87" i="2"/>
  <c r="J88" i="2"/>
  <c r="J89" i="2"/>
  <c r="J90" i="2"/>
  <c r="J91" i="2"/>
  <c r="J93" i="2"/>
  <c r="J92" i="2"/>
  <c r="J94" i="2"/>
  <c r="J95" i="2"/>
  <c r="J96" i="2"/>
  <c r="J98" i="2"/>
  <c r="J97" i="2"/>
  <c r="J99" i="2"/>
  <c r="J100" i="2"/>
  <c r="J101" i="2"/>
  <c r="J102" i="2"/>
  <c r="J103" i="2"/>
  <c r="J104" i="2"/>
  <c r="J105" i="2"/>
  <c r="J106" i="2"/>
  <c r="J107" i="2"/>
  <c r="J109" i="2"/>
  <c r="J108" i="2"/>
  <c r="J110" i="2"/>
  <c r="J111" i="2"/>
  <c r="J112" i="2"/>
  <c r="J113" i="2"/>
  <c r="J114" i="2"/>
  <c r="J115" i="2"/>
  <c r="J117" i="2"/>
  <c r="J116" i="2"/>
  <c r="J119" i="2"/>
  <c r="J118" i="2"/>
  <c r="J120" i="2"/>
  <c r="J121" i="2"/>
  <c r="J122" i="2"/>
  <c r="J123" i="2"/>
  <c r="J125" i="2"/>
  <c r="J124" i="2"/>
  <c r="J126" i="2"/>
  <c r="J127" i="2"/>
  <c r="J128" i="2"/>
  <c r="J130" i="2"/>
  <c r="J129" i="2"/>
  <c r="J132" i="2"/>
  <c r="J131" i="2"/>
  <c r="J133" i="2"/>
  <c r="J134" i="2"/>
  <c r="J135" i="2"/>
  <c r="J136" i="2"/>
  <c r="J138" i="2"/>
  <c r="J137" i="2"/>
  <c r="J139" i="2"/>
  <c r="J141" i="2"/>
  <c r="J140" i="2"/>
  <c r="J142" i="2"/>
  <c r="J143" i="2"/>
  <c r="J144" i="2"/>
  <c r="J145" i="2"/>
  <c r="J146" i="2"/>
  <c r="J147" i="2"/>
  <c r="J148" i="2"/>
  <c r="J149" i="2"/>
</calcChain>
</file>

<file path=xl/sharedStrings.xml><?xml version="1.0" encoding="utf-8"?>
<sst xmlns="http://schemas.openxmlformats.org/spreadsheetml/2006/main" count="28" uniqueCount="19">
  <si>
    <r>
      <t>Q
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/s)</t>
    </r>
  </si>
  <si>
    <r>
      <t>n
(s/m</t>
    </r>
    <r>
      <rPr>
        <vertAlign val="superscript"/>
        <sz val="11"/>
        <color theme="1"/>
        <rFont val="Calibri"/>
        <family val="2"/>
        <scheme val="minor"/>
      </rPr>
      <t>1/3</t>
    </r>
    <r>
      <rPr>
        <sz val="11"/>
        <color theme="1"/>
        <rFont val="Calibri"/>
        <family val="2"/>
        <scheme val="minor"/>
      </rPr>
      <t>)</t>
    </r>
  </si>
  <si>
    <t>b
(m)</t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</si>
  <si>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
(m/m)</t>
    </r>
  </si>
  <si>
    <r>
      <t>z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
(m/m)</t>
    </r>
  </si>
  <si>
    <r>
      <t>z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
(m/m)</t>
    </r>
  </si>
  <si>
    <r>
      <t>y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
(m)</t>
    </r>
  </si>
  <si>
    <r>
      <t>y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
(m)</t>
    </r>
  </si>
  <si>
    <t>ID</t>
  </si>
  <si>
    <t>D
(m)</t>
  </si>
  <si>
    <t>y
(m)</t>
  </si>
  <si>
    <r>
      <t xml:space="preserve">θ
</t>
    </r>
    <r>
      <rPr>
        <sz val="11"/>
        <color theme="1"/>
        <rFont val="Tahoma"/>
        <family val="2"/>
      </rPr>
      <t>(rad</t>
    </r>
    <r>
      <rPr>
        <sz val="11"/>
        <color theme="1"/>
        <rFont val="Calibri"/>
        <family val="2"/>
        <scheme val="minor"/>
      </rPr>
      <t>)</t>
    </r>
  </si>
  <si>
    <r>
      <t>A
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</si>
  <si>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P
(m)</t>
  </si>
  <si>
    <t>Q</t>
  </si>
  <si>
    <t>Sección Trapecial</t>
  </si>
  <si>
    <t>Sección Circular</t>
  </si>
  <si>
    <t>y/D</t>
  </si>
  <si>
    <r>
      <t>Q/Q</t>
    </r>
    <r>
      <rPr>
        <vertAlign val="subscript"/>
        <sz val="11"/>
        <color theme="1"/>
        <rFont val="Calibri"/>
        <family val="2"/>
        <scheme val="minor"/>
      </rPr>
      <t>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</si>
</sst>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%"/>
  </numFmts>
  <fonts count="6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Hoja2!$J$2:$J$151</c:f>
              <c:numCache>
                <c:formatCode>0.0%</c:formatCode>
                <c:ptCount val="150"/>
                <c:pt idx="0">
                  <c:v>6.2688849193736238E-5</c:v>
                </c:pt>
                <c:pt idx="1">
                  <c:v>2.8031132523889896E-4</c:v>
                </c:pt>
                <c:pt idx="2">
                  <c:v>6.7202019728720009E-4</c:v>
                </c:pt>
                <c:pt idx="3">
                  <c:v>1.2482034887734996E-3</c:v>
                </c:pt>
                <c:pt idx="4">
                  <c:v>2.0158180383731674E-3</c:v>
                </c:pt>
                <c:pt idx="5">
                  <c:v>2.979865222414944E-3</c:v>
                </c:pt>
                <c:pt idx="6">
                  <c:v>4.1440552019672483E-3</c:v>
                </c:pt>
                <c:pt idx="7">
                  <c:v>5.5111699436655786E-3</c:v>
                </c:pt>
                <c:pt idx="8">
                  <c:v>7.083285642542487E-3</c:v>
                </c:pt>
                <c:pt idx="9">
                  <c:v>8.8619198782414598E-3</c:v>
                </c:pt>
                <c:pt idx="10">
                  <c:v>1.0848134536901031E-2</c:v>
                </c:pt>
                <c:pt idx="11">
                  <c:v>1.3042610899252729E-2</c:v>
                </c:pt>
                <c:pt idx="12">
                  <c:v>1.5445706272853016E-2</c:v>
                </c:pt>
                <c:pt idx="13">
                  <c:v>1.805749786722571E-2</c:v>
                </c:pt>
                <c:pt idx="14">
                  <c:v>2.0877817547358016E-2</c:v>
                </c:pt>
                <c:pt idx="15">
                  <c:v>2.3906279878818982E-2</c:v>
                </c:pt>
                <c:pt idx="16">
                  <c:v>2.714230512055019E-2</c:v>
                </c:pt>
                <c:pt idx="17">
                  <c:v>3.0585138334211583E-2</c:v>
                </c:pt>
                <c:pt idx="18">
                  <c:v>3.4233865455320818E-2</c:v>
                </c:pt>
                <c:pt idx="19">
                  <c:v>3.8087426950382863E-2</c:v>
                </c:pt>
                <c:pt idx="20">
                  <c:v>4.2144629529555055E-2</c:v>
                </c:pt>
                <c:pt idx="21">
                  <c:v>4.6404156273869138E-2</c:v>
                </c:pt>
                <c:pt idx="22">
                  <c:v>5.0864575455544243E-2</c:v>
                </c:pt>
                <c:pt idx="23">
                  <c:v>5.5524348270317991E-2</c:v>
                </c:pt>
                <c:pt idx="24">
                  <c:v>6.0381835655902542E-2</c:v>
                </c:pt>
                <c:pt idx="25">
                  <c:v>6.5435304336513844E-2</c:v>
                </c:pt>
                <c:pt idx="26">
                  <c:v>7.0682932207056376E-2</c:v>
                </c:pt>
                <c:pt idx="27">
                  <c:v>7.6122813149966426E-2</c:v>
                </c:pt>
                <c:pt idx="28">
                  <c:v>8.1752961361489032E-2</c:v>
                </c:pt>
                <c:pt idx="29">
                  <c:v>8.7571315251235446E-2</c:v>
                </c:pt>
                <c:pt idx="30">
                  <c:v>9.3575740968485172E-2</c:v>
                </c:pt>
                <c:pt idx="31">
                  <c:v>9.9764035600287737E-2</c:v>
                </c:pt>
                <c:pt idx="32">
                  <c:v>0.1061339300795523</c:v>
                </c:pt>
                <c:pt idx="33">
                  <c:v>0.11268309183566867</c:v>
                </c:pt>
                <c:pt idx="34">
                  <c:v>0.11940912721553623</c:v>
                </c:pt>
                <c:pt idx="35">
                  <c:v>0.12630958369898557</c:v>
                </c:pt>
                <c:pt idx="36">
                  <c:v>0.13338195192931662</c:v>
                </c:pt>
                <c:pt idx="37">
                  <c:v>0.14062366757694125</c:v>
                </c:pt>
                <c:pt idx="38">
                  <c:v>0.14803211305178071</c:v>
                </c:pt>
                <c:pt idx="39">
                  <c:v>0.15560461907810064</c:v>
                </c:pt>
                <c:pt idx="40">
                  <c:v>0.16333846614376762</c:v>
                </c:pt>
                <c:pt idx="41">
                  <c:v>0.17123088583445706</c:v>
                </c:pt>
                <c:pt idx="42">
                  <c:v>0.17927906206208807</c:v>
                </c:pt>
                <c:pt idx="43">
                  <c:v>0.18748013219567036</c:v>
                </c:pt>
                <c:pt idx="44">
                  <c:v>0.19583118810179884</c:v>
                </c:pt>
                <c:pt idx="45">
                  <c:v>0.20432927710120422</c:v>
                </c:pt>
                <c:pt idx="46">
                  <c:v>0.21297140284703803</c:v>
                </c:pt>
                <c:pt idx="47">
                  <c:v>0.22175452612992388</c:v>
                </c:pt>
                <c:pt idx="48">
                  <c:v>0.23067556561424649</c:v>
                </c:pt>
                <c:pt idx="49">
                  <c:v>0.23973139850962996</c:v>
                </c:pt>
                <c:pt idx="50">
                  <c:v>0.24891886118111578</c:v>
                </c:pt>
                <c:pt idx="51">
                  <c:v>0.25823474970113752</c:v>
                </c:pt>
                <c:pt idx="52">
                  <c:v>0.26767582034601983</c:v>
                </c:pt>
                <c:pt idx="53">
                  <c:v>0.27723879003940405</c:v>
                </c:pt>
                <c:pt idx="54">
                  <c:v>0.28692033674468964</c:v>
                </c:pt>
                <c:pt idx="55">
                  <c:v>0.29671709980830779</c:v>
                </c:pt>
                <c:pt idx="56">
                  <c:v>0.30662568025538151</c:v>
                </c:pt>
                <c:pt idx="57">
                  <c:v>0.31664264103909179</c:v>
                </c:pt>
                <c:pt idx="58">
                  <c:v>0.32676450724484124</c:v>
                </c:pt>
                <c:pt idx="59">
                  <c:v>0.33698776625009697</c:v>
                </c:pt>
                <c:pt idx="60">
                  <c:v>0.34730886784059489</c:v>
                </c:pt>
                <c:pt idx="61">
                  <c:v>0.35772422428339473</c:v>
                </c:pt>
                <c:pt idx="62">
                  <c:v>0.36823021035708953</c:v>
                </c:pt>
                <c:pt idx="63">
                  <c:v>0.37882316333929206</c:v>
                </c:pt>
                <c:pt idx="64">
                  <c:v>0.38949938295134834</c:v>
                </c:pt>
                <c:pt idx="65">
                  <c:v>0.40025513126004619</c:v>
                </c:pt>
                <c:pt idx="66">
                  <c:v>0.41108663253591249</c:v>
                </c:pt>
                <c:pt idx="67">
                  <c:v>0.42199007306752623</c:v>
                </c:pt>
                <c:pt idx="68">
                  <c:v>0.43296160093107638</c:v>
                </c:pt>
                <c:pt idx="69">
                  <c:v>0.4439973257142294</c:v>
                </c:pt>
                <c:pt idx="70">
                  <c:v>0.45509331819316823</c:v>
                </c:pt>
                <c:pt idx="71">
                  <c:v>0.46624560996147013</c:v>
                </c:pt>
                <c:pt idx="72">
                  <c:v>0.47745019300929242</c:v>
                </c:pt>
                <c:pt idx="73">
                  <c:v>0.48870301925110682</c:v>
                </c:pt>
                <c:pt idx="74">
                  <c:v>0.50000000000000067</c:v>
                </c:pt>
                <c:pt idx="75">
                  <c:v>0.51133700538631532</c:v>
                </c:pt>
                <c:pt idx="76">
                  <c:v>0.5227098637181361</c:v>
                </c:pt>
                <c:pt idx="77">
                  <c:v>0.53411436078085739</c:v>
                </c:pt>
                <c:pt idx="78">
                  <c:v>0.54554623907275002</c:v>
                </c:pt>
                <c:pt idx="79">
                  <c:v>0.55700119697313466</c:v>
                </c:pt>
                <c:pt idx="80">
                  <c:v>0.56847488783938849</c:v>
                </c:pt>
                <c:pt idx="81">
                  <c:v>0.57996291902865038</c:v>
                </c:pt>
                <c:pt idx="82">
                  <c:v>0.59146085083963928</c:v>
                </c:pt>
                <c:pt idx="83">
                  <c:v>0.60296419536954926</c:v>
                </c:pt>
                <c:pt idx="84">
                  <c:v>0.61446841528046292</c:v>
                </c:pt>
                <c:pt idx="85">
                  <c:v>0.62596892246916114</c:v>
                </c:pt>
                <c:pt idx="86">
                  <c:v>0.63746107663358031</c:v>
                </c:pt>
                <c:pt idx="87">
                  <c:v>0.64894018372847306</c:v>
                </c:pt>
                <c:pt idx="88">
                  <c:v>0.66040149430205763</c:v>
                </c:pt>
                <c:pt idx="89">
                  <c:v>0.67184020170458369</c:v>
                </c:pt>
                <c:pt idx="90">
                  <c:v>0.68325144015877837</c:v>
                </c:pt>
                <c:pt idx="91">
                  <c:v>0.69463028268107818</c:v>
                </c:pt>
                <c:pt idx="92">
                  <c:v>0.70597173884132591</c:v>
                </c:pt>
                <c:pt idx="93">
                  <c:v>0.71727075234729654</c:v>
                </c:pt>
                <c:pt idx="94">
                  <c:v>0.72852219843885913</c:v>
                </c:pt>
                <c:pt idx="95">
                  <c:v>0.73972088107489331</c:v>
                </c:pt>
                <c:pt idx="96">
                  <c:v>0.75086152989412513</c:v>
                </c:pt>
                <c:pt idx="97">
                  <c:v>0.76193879692884514</c:v>
                </c:pt>
                <c:pt idx="98">
                  <c:v>0.77294725304796863</c:v>
                </c:pt>
                <c:pt idx="99">
                  <c:v>0.78388138410304875</c:v>
                </c:pt>
                <c:pt idx="100">
                  <c:v>0.79473558674758282</c:v>
                </c:pt>
                <c:pt idx="101">
                  <c:v>0.80550416389621515</c:v>
                </c:pt>
                <c:pt idx="102">
                  <c:v>0.81618131978614705</c:v>
                </c:pt>
                <c:pt idx="103">
                  <c:v>0.8267611545981105</c:v>
                </c:pt>
                <c:pt idx="104">
                  <c:v>0.83723765858852706</c:v>
                </c:pt>
                <c:pt idx="105">
                  <c:v>0.8476047056778433</c:v>
                </c:pt>
                <c:pt idx="106">
                  <c:v>0.85785604643230284</c:v>
                </c:pt>
                <c:pt idx="107">
                  <c:v>0.86798530036738797</c:v>
                </c:pt>
                <c:pt idx="108">
                  <c:v>0.87798594749059977</c:v>
                </c:pt>
                <c:pt idx="109">
                  <c:v>0.88785131898880876</c:v>
                </c:pt>
                <c:pt idx="110">
                  <c:v>0.89757458695073378</c:v>
                </c:pt>
                <c:pt idx="111">
                  <c:v>0.90714875299770137</c:v>
                </c:pt>
                <c:pt idx="112">
                  <c:v>0.9165666356751424</c:v>
                </c:pt>
                <c:pt idx="113">
                  <c:v>0.92582085643249257</c:v>
                </c:pt>
                <c:pt idx="114">
                  <c:v>0.9349038239894214</c:v>
                </c:pt>
                <c:pt idx="115">
                  <c:v>0.94380771685039311</c:v>
                </c:pt>
                <c:pt idx="116">
                  <c:v>0.95252446368593824</c:v>
                </c:pt>
                <c:pt idx="117">
                  <c:v>0.96104572124582499</c:v>
                </c:pt>
                <c:pt idx="118">
                  <c:v>0.96936284940398521</c:v>
                </c:pt>
                <c:pt idx="119">
                  <c:v>0.97746688285438599</c:v>
                </c:pt>
                <c:pt idx="120">
                  <c:v>0.98534849887674125</c:v>
                </c:pt>
                <c:pt idx="121">
                  <c:v>0.99299798046541199</c:v>
                </c:pt>
                <c:pt idx="122">
                  <c:v>1.000405173956509</c:v>
                </c:pt>
                <c:pt idx="123">
                  <c:v>1.0075594400869492</c:v>
                </c:pt>
                <c:pt idx="124">
                  <c:v>1.0144495971612228</c:v>
                </c:pt>
                <c:pt idx="125">
                  <c:v>1.0210638546678754</c:v>
                </c:pt>
                <c:pt idx="126">
                  <c:v>1.0273897352518129</c:v>
                </c:pt>
                <c:pt idx="127">
                  <c:v>1.0334139823731052</c:v>
                </c:pt>
                <c:pt idx="128">
                  <c:v>1.0391224502148171</c:v>
                </c:pt>
                <c:pt idx="129">
                  <c:v>1.0444999713642471</c:v>
                </c:pt>
                <c:pt idx="130">
                  <c:v>1.0495301963699881</c:v>
                </c:pt>
                <c:pt idx="131">
                  <c:v>1.0541953973010374</c:v>
                </c:pt>
                <c:pt idx="132">
                  <c:v>1.0584762246432522</c:v>
                </c:pt>
                <c:pt idx="133">
                  <c:v>1.0623514028569425</c:v>
                </c:pt>
                <c:pt idx="134">
                  <c:v>1.0657973440395649</c:v>
                </c:pt>
                <c:pt idx="135">
                  <c:v>1.0687876503297786</c:v>
                </c:pt>
                <c:pt idx="136">
                  <c:v>1.0712924621696875</c:v>
                </c:pt>
                <c:pt idx="137">
                  <c:v>1.0732775882109524</c:v>
                </c:pt>
                <c:pt idx="138">
                  <c:v>1.0747033179214946</c:v>
                </c:pt>
                <c:pt idx="139">
                  <c:v>1.0755227593318362</c:v>
                </c:pt>
                <c:pt idx="140">
                  <c:v>1.0756794411849153</c:v>
                </c:pt>
                <c:pt idx="141">
                  <c:v>1.0751037279509164</c:v>
                </c:pt>
                <c:pt idx="142">
                  <c:v>1.0737072217949373</c:v>
                </c:pt>
                <c:pt idx="143">
                  <c:v>1.0713735358682541</c:v>
                </c:pt>
                <c:pt idx="144">
                  <c:v>1.0679419988983105</c:v>
                </c:pt>
                <c:pt idx="145">
                  <c:v>1.063176107144219</c:v>
                </c:pt>
                <c:pt idx="146">
                  <c:v>1.0566940348247995</c:v>
                </c:pt>
                <c:pt idx="147">
                  <c:v>1.0477820763466046</c:v>
                </c:pt>
                <c:pt idx="148">
                  <c:v>1.0346769728744218</c:v>
                </c:pt>
                <c:pt idx="149">
                  <c:v>1</c:v>
                </c:pt>
              </c:numCache>
            </c:numRef>
          </c:xVal>
          <c:yVal>
            <c:numRef>
              <c:f>Hoja2!$I$2:$I$151</c:f>
              <c:numCache>
                <c:formatCode>0%</c:formatCode>
                <c:ptCount val="150"/>
                <c:pt idx="0">
                  <c:v>6.6666666666666671E-3</c:v>
                </c:pt>
                <c:pt idx="1">
                  <c:v>1.3333333333333334E-2</c:v>
                </c:pt>
                <c:pt idx="2">
                  <c:v>0.02</c:v>
                </c:pt>
                <c:pt idx="3">
                  <c:v>2.6666666666666668E-2</c:v>
                </c:pt>
                <c:pt idx="4">
                  <c:v>3.3333333333333333E-2</c:v>
                </c:pt>
                <c:pt idx="5">
                  <c:v>0.04</c:v>
                </c:pt>
                <c:pt idx="6">
                  <c:v>4.6666666666666669E-2</c:v>
                </c:pt>
                <c:pt idx="7">
                  <c:v>5.3333333333333337E-2</c:v>
                </c:pt>
                <c:pt idx="8">
                  <c:v>0.06</c:v>
                </c:pt>
                <c:pt idx="9">
                  <c:v>6.6666666666666666E-2</c:v>
                </c:pt>
                <c:pt idx="10">
                  <c:v>7.333333333333332E-2</c:v>
                </c:pt>
                <c:pt idx="11">
                  <c:v>7.9999999999999988E-2</c:v>
                </c:pt>
                <c:pt idx="12">
                  <c:v>8.6666666666666656E-2</c:v>
                </c:pt>
                <c:pt idx="13">
                  <c:v>9.3333333333333324E-2</c:v>
                </c:pt>
                <c:pt idx="14">
                  <c:v>9.9999999999999992E-2</c:v>
                </c:pt>
                <c:pt idx="15">
                  <c:v>0.10666666666666667</c:v>
                </c:pt>
                <c:pt idx="16">
                  <c:v>0.11333333333333334</c:v>
                </c:pt>
                <c:pt idx="17">
                  <c:v>0.12000000000000001</c:v>
                </c:pt>
                <c:pt idx="18">
                  <c:v>0.12666666666666668</c:v>
                </c:pt>
                <c:pt idx="19">
                  <c:v>0.13333333333333336</c:v>
                </c:pt>
                <c:pt idx="20">
                  <c:v>0.14000000000000004</c:v>
                </c:pt>
                <c:pt idx="21">
                  <c:v>0.1466666666666667</c:v>
                </c:pt>
                <c:pt idx="22">
                  <c:v>0.15333333333333338</c:v>
                </c:pt>
                <c:pt idx="23">
                  <c:v>0.16000000000000006</c:v>
                </c:pt>
                <c:pt idx="24">
                  <c:v>0.16666666666666671</c:v>
                </c:pt>
                <c:pt idx="25">
                  <c:v>0.17333333333333337</c:v>
                </c:pt>
                <c:pt idx="26">
                  <c:v>0.18000000000000005</c:v>
                </c:pt>
                <c:pt idx="27">
                  <c:v>0.18666666666666673</c:v>
                </c:pt>
                <c:pt idx="28">
                  <c:v>0.19333333333333338</c:v>
                </c:pt>
                <c:pt idx="29">
                  <c:v>0.20000000000000007</c:v>
                </c:pt>
                <c:pt idx="30">
                  <c:v>0.20666666666666675</c:v>
                </c:pt>
                <c:pt idx="31">
                  <c:v>0.2133333333333334</c:v>
                </c:pt>
                <c:pt idx="32">
                  <c:v>0.22000000000000008</c:v>
                </c:pt>
                <c:pt idx="33">
                  <c:v>0.22666666666666677</c:v>
                </c:pt>
                <c:pt idx="34">
                  <c:v>0.23333333333333342</c:v>
                </c:pt>
                <c:pt idx="35">
                  <c:v>0.2400000000000001</c:v>
                </c:pt>
                <c:pt idx="36">
                  <c:v>0.24666666666666678</c:v>
                </c:pt>
                <c:pt idx="37">
                  <c:v>0.25333333333333347</c:v>
                </c:pt>
                <c:pt idx="38">
                  <c:v>0.26000000000000012</c:v>
                </c:pt>
                <c:pt idx="39">
                  <c:v>0.26666666666666677</c:v>
                </c:pt>
                <c:pt idx="40">
                  <c:v>0.27333333333333348</c:v>
                </c:pt>
                <c:pt idx="41">
                  <c:v>0.28000000000000014</c:v>
                </c:pt>
                <c:pt idx="42">
                  <c:v>0.28666666666666679</c:v>
                </c:pt>
                <c:pt idx="43">
                  <c:v>0.2933333333333335</c:v>
                </c:pt>
                <c:pt idx="44">
                  <c:v>0.30000000000000016</c:v>
                </c:pt>
                <c:pt idx="45">
                  <c:v>0.30666666666666681</c:v>
                </c:pt>
                <c:pt idx="46">
                  <c:v>0.31333333333333352</c:v>
                </c:pt>
                <c:pt idx="47">
                  <c:v>0.32000000000000017</c:v>
                </c:pt>
                <c:pt idx="48">
                  <c:v>0.32666666666666683</c:v>
                </c:pt>
                <c:pt idx="49">
                  <c:v>0.33333333333333348</c:v>
                </c:pt>
                <c:pt idx="50">
                  <c:v>0.34000000000000014</c:v>
                </c:pt>
                <c:pt idx="51">
                  <c:v>0.34666666666666685</c:v>
                </c:pt>
                <c:pt idx="52">
                  <c:v>0.3533333333333335</c:v>
                </c:pt>
                <c:pt idx="53">
                  <c:v>0.36000000000000015</c:v>
                </c:pt>
                <c:pt idx="54">
                  <c:v>0.36666666666666686</c:v>
                </c:pt>
                <c:pt idx="55">
                  <c:v>0.37333333333333352</c:v>
                </c:pt>
                <c:pt idx="56">
                  <c:v>0.38000000000000017</c:v>
                </c:pt>
                <c:pt idx="57">
                  <c:v>0.38666666666666688</c:v>
                </c:pt>
                <c:pt idx="58">
                  <c:v>0.39333333333333353</c:v>
                </c:pt>
                <c:pt idx="59">
                  <c:v>0.40000000000000019</c:v>
                </c:pt>
                <c:pt idx="60">
                  <c:v>0.4066666666666669</c:v>
                </c:pt>
                <c:pt idx="61">
                  <c:v>0.41333333333333355</c:v>
                </c:pt>
                <c:pt idx="62">
                  <c:v>0.42000000000000021</c:v>
                </c:pt>
                <c:pt idx="63">
                  <c:v>0.42666666666666692</c:v>
                </c:pt>
                <c:pt idx="64">
                  <c:v>0.43333333333333357</c:v>
                </c:pt>
                <c:pt idx="65">
                  <c:v>0.44000000000000022</c:v>
                </c:pt>
                <c:pt idx="66">
                  <c:v>0.44666666666666693</c:v>
                </c:pt>
                <c:pt idx="67">
                  <c:v>0.45333333333333359</c:v>
                </c:pt>
                <c:pt idx="68">
                  <c:v>0.46000000000000024</c:v>
                </c:pt>
                <c:pt idx="69">
                  <c:v>0.46666666666666695</c:v>
                </c:pt>
                <c:pt idx="70">
                  <c:v>0.47333333333333361</c:v>
                </c:pt>
                <c:pt idx="71">
                  <c:v>0.48000000000000026</c:v>
                </c:pt>
                <c:pt idx="72">
                  <c:v>0.48666666666666697</c:v>
                </c:pt>
                <c:pt idx="73">
                  <c:v>0.49333333333333362</c:v>
                </c:pt>
                <c:pt idx="74">
                  <c:v>0.50000000000000033</c:v>
                </c:pt>
                <c:pt idx="75">
                  <c:v>0.50666666666666693</c:v>
                </c:pt>
                <c:pt idx="76">
                  <c:v>0.51333333333333364</c:v>
                </c:pt>
                <c:pt idx="77">
                  <c:v>0.52000000000000035</c:v>
                </c:pt>
                <c:pt idx="78">
                  <c:v>0.52666666666666695</c:v>
                </c:pt>
                <c:pt idx="79">
                  <c:v>0.53333333333333366</c:v>
                </c:pt>
                <c:pt idx="80">
                  <c:v>0.54000000000000037</c:v>
                </c:pt>
                <c:pt idx="81">
                  <c:v>0.54666666666666697</c:v>
                </c:pt>
                <c:pt idx="82">
                  <c:v>0.55333333333333368</c:v>
                </c:pt>
                <c:pt idx="83">
                  <c:v>0.56000000000000039</c:v>
                </c:pt>
                <c:pt idx="84">
                  <c:v>0.56666666666666698</c:v>
                </c:pt>
                <c:pt idx="85">
                  <c:v>0.57333333333333369</c:v>
                </c:pt>
                <c:pt idx="86">
                  <c:v>0.5800000000000004</c:v>
                </c:pt>
                <c:pt idx="87">
                  <c:v>0.586666666666667</c:v>
                </c:pt>
                <c:pt idx="88">
                  <c:v>0.59333333333333371</c:v>
                </c:pt>
                <c:pt idx="89">
                  <c:v>0.60000000000000042</c:v>
                </c:pt>
                <c:pt idx="90">
                  <c:v>0.60666666666666702</c:v>
                </c:pt>
                <c:pt idx="91">
                  <c:v>0.61333333333333373</c:v>
                </c:pt>
                <c:pt idx="92">
                  <c:v>0.62000000000000044</c:v>
                </c:pt>
                <c:pt idx="93">
                  <c:v>0.62666666666666704</c:v>
                </c:pt>
                <c:pt idx="94">
                  <c:v>0.63333333333333375</c:v>
                </c:pt>
                <c:pt idx="95">
                  <c:v>0.64000000000000046</c:v>
                </c:pt>
                <c:pt idx="96">
                  <c:v>0.64666666666666706</c:v>
                </c:pt>
                <c:pt idx="97">
                  <c:v>0.65333333333333377</c:v>
                </c:pt>
                <c:pt idx="98">
                  <c:v>0.66000000000000048</c:v>
                </c:pt>
                <c:pt idx="99">
                  <c:v>0.66666666666666707</c:v>
                </c:pt>
                <c:pt idx="100">
                  <c:v>0.67333333333333378</c:v>
                </c:pt>
                <c:pt idx="101">
                  <c:v>0.68000000000000049</c:v>
                </c:pt>
                <c:pt idx="102">
                  <c:v>0.68666666666666709</c:v>
                </c:pt>
                <c:pt idx="103">
                  <c:v>0.6933333333333338</c:v>
                </c:pt>
                <c:pt idx="104">
                  <c:v>0.70000000000000051</c:v>
                </c:pt>
                <c:pt idx="105">
                  <c:v>0.70666666666666711</c:v>
                </c:pt>
                <c:pt idx="106">
                  <c:v>0.71333333333333382</c:v>
                </c:pt>
                <c:pt idx="107">
                  <c:v>0.72000000000000053</c:v>
                </c:pt>
                <c:pt idx="108">
                  <c:v>0.72666666666666713</c:v>
                </c:pt>
                <c:pt idx="109">
                  <c:v>0.73333333333333384</c:v>
                </c:pt>
                <c:pt idx="110">
                  <c:v>0.74000000000000055</c:v>
                </c:pt>
                <c:pt idx="111">
                  <c:v>0.74666666666666714</c:v>
                </c:pt>
                <c:pt idx="112">
                  <c:v>0.75333333333333385</c:v>
                </c:pt>
                <c:pt idx="113">
                  <c:v>0.76000000000000056</c:v>
                </c:pt>
                <c:pt idx="114">
                  <c:v>0.76666666666666716</c:v>
                </c:pt>
                <c:pt idx="115">
                  <c:v>0.77333333333333387</c:v>
                </c:pt>
                <c:pt idx="116">
                  <c:v>0.78000000000000058</c:v>
                </c:pt>
                <c:pt idx="117">
                  <c:v>0.78666666666666718</c:v>
                </c:pt>
                <c:pt idx="118">
                  <c:v>0.79333333333333389</c:v>
                </c:pt>
                <c:pt idx="119">
                  <c:v>0.8000000000000006</c:v>
                </c:pt>
                <c:pt idx="120">
                  <c:v>0.8066666666666672</c:v>
                </c:pt>
                <c:pt idx="121">
                  <c:v>0.81333333333333391</c:v>
                </c:pt>
                <c:pt idx="122">
                  <c:v>0.82000000000000062</c:v>
                </c:pt>
                <c:pt idx="123">
                  <c:v>0.82666666666666722</c:v>
                </c:pt>
                <c:pt idx="124">
                  <c:v>0.83333333333333393</c:v>
                </c:pt>
                <c:pt idx="125">
                  <c:v>0.84000000000000064</c:v>
                </c:pt>
                <c:pt idx="126">
                  <c:v>0.84666666666666723</c:v>
                </c:pt>
                <c:pt idx="127">
                  <c:v>0.85333333333333394</c:v>
                </c:pt>
                <c:pt idx="128">
                  <c:v>0.86000000000000065</c:v>
                </c:pt>
                <c:pt idx="129">
                  <c:v>0.86666666666666725</c:v>
                </c:pt>
                <c:pt idx="130">
                  <c:v>0.87333333333333396</c:v>
                </c:pt>
                <c:pt idx="131">
                  <c:v>0.88000000000000067</c:v>
                </c:pt>
                <c:pt idx="132">
                  <c:v>0.88666666666666727</c:v>
                </c:pt>
                <c:pt idx="133">
                  <c:v>0.89333333333333398</c:v>
                </c:pt>
                <c:pt idx="134">
                  <c:v>0.90000000000000069</c:v>
                </c:pt>
                <c:pt idx="135">
                  <c:v>0.90666666666666729</c:v>
                </c:pt>
                <c:pt idx="136">
                  <c:v>0.913333333333334</c:v>
                </c:pt>
                <c:pt idx="137">
                  <c:v>0.92000000000000071</c:v>
                </c:pt>
                <c:pt idx="138">
                  <c:v>0.9266666666666673</c:v>
                </c:pt>
                <c:pt idx="139">
                  <c:v>0.93333333333333401</c:v>
                </c:pt>
                <c:pt idx="140">
                  <c:v>0.94000000000000072</c:v>
                </c:pt>
                <c:pt idx="141">
                  <c:v>0.94666666666666732</c:v>
                </c:pt>
                <c:pt idx="142">
                  <c:v>0.95333333333333403</c:v>
                </c:pt>
                <c:pt idx="143">
                  <c:v>0.96000000000000074</c:v>
                </c:pt>
                <c:pt idx="144">
                  <c:v>0.96666666666666734</c:v>
                </c:pt>
                <c:pt idx="145">
                  <c:v>0.97333333333333405</c:v>
                </c:pt>
                <c:pt idx="146">
                  <c:v>0.98000000000000076</c:v>
                </c:pt>
                <c:pt idx="147">
                  <c:v>0.98666666666666736</c:v>
                </c:pt>
                <c:pt idx="148">
                  <c:v>0.99333333333333407</c:v>
                </c:pt>
                <c:pt idx="149">
                  <c:v>1.0000000000000007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54-43C6-B5BD-1B43A125C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370880"/>
        <c:axId val="1116371712"/>
      </c:scatterChart>
      <c:valAx>
        <c:axId val="111637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371712"/>
        <c:crosses val="autoZero"/>
        <c:crossBetween val="midCat"/>
      </c:valAx>
      <c:valAx>
        <c:axId val="11163717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3708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</xdr:row>
          <xdr:rowOff>180975</xdr:rowOff>
        </xdr:from>
        <xdr:to>
          <xdr:col>10</xdr:col>
          <xdr:colOff>523875</xdr:colOff>
          <xdr:row>1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ALEATORIZAR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400050</xdr:colOff>
      <xdr:row>1</xdr:row>
      <xdr:rowOff>66675</xdr:rowOff>
    </xdr:from>
    <xdr:to>
      <xdr:col>18</xdr:col>
      <xdr:colOff>400050</xdr:colOff>
      <xdr:row>16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22"/>
  <sheetViews>
    <sheetView tabSelected="1" zoomScaleNormal="100" workbookViewId="0">
      <selection activeCell="J4" sqref="J4"/>
    </sheetView>
  </sheetViews>
  <sheetFormatPr defaultColWidth="11.42578125" defaultRowHeight="15" x14ac:dyDescent="0.25"/>
  <cols>
    <col min="1" max="1" width="3.7109375" customWidth="1"/>
    <col min="2" max="9" width="7.7109375" customWidth="1"/>
    <col min="12" max="12" width="4.7109375" customWidth="1"/>
    <col min="13" max="16" width="7.7109375" customWidth="1"/>
    <col min="17" max="18" width="17.140625" bestFit="1" customWidth="1"/>
    <col min="23" max="23" width="12" bestFit="1" customWidth="1"/>
    <col min="27" max="27" width="12" bestFit="1" customWidth="1"/>
  </cols>
  <sheetData>
    <row r="1" spans="1:25" x14ac:dyDescent="0.25">
      <c r="A1" s="13" t="s">
        <v>15</v>
      </c>
      <c r="B1" s="13"/>
      <c r="C1" s="13"/>
      <c r="D1" s="13"/>
      <c r="E1" s="13"/>
      <c r="F1" s="13"/>
      <c r="G1" s="13"/>
      <c r="H1" s="13"/>
      <c r="I1" s="13"/>
      <c r="L1" s="13" t="s">
        <v>16</v>
      </c>
      <c r="M1" s="13"/>
      <c r="N1" s="13"/>
      <c r="O1" s="13"/>
      <c r="P1" s="13"/>
      <c r="Q1" s="13"/>
      <c r="R1" s="13"/>
    </row>
    <row r="2" spans="1:25" ht="47.25" x14ac:dyDescent="0.25">
      <c r="A2" s="5" t="s">
        <v>8</v>
      </c>
      <c r="B2" s="12" t="s">
        <v>0</v>
      </c>
      <c r="C2" s="12" t="s">
        <v>1</v>
      </c>
      <c r="D2" s="12" t="s">
        <v>3</v>
      </c>
      <c r="E2" s="12" t="s">
        <v>2</v>
      </c>
      <c r="F2" s="12" t="s">
        <v>4</v>
      </c>
      <c r="G2" s="12" t="s">
        <v>5</v>
      </c>
      <c r="H2" s="12" t="s">
        <v>6</v>
      </c>
      <c r="I2" s="12" t="s">
        <v>7</v>
      </c>
      <c r="L2" s="5" t="s">
        <v>8</v>
      </c>
      <c r="M2" s="12" t="s">
        <v>0</v>
      </c>
      <c r="N2" s="12" t="s">
        <v>1</v>
      </c>
      <c r="O2" s="12" t="s">
        <v>3</v>
      </c>
      <c r="P2" s="12" t="s">
        <v>9</v>
      </c>
      <c r="Q2" s="12" t="s">
        <v>6</v>
      </c>
      <c r="R2" s="12" t="s">
        <v>7</v>
      </c>
      <c r="V2" s="1"/>
      <c r="W2" s="1"/>
      <c r="X2" s="1"/>
      <c r="Y2" s="1"/>
    </row>
    <row r="3" spans="1:25" x14ac:dyDescent="0.25">
      <c r="A3" s="2">
        <v>1</v>
      </c>
      <c r="B3" s="4">
        <f ca="1">ROUND(0.1+RAND()*14.9,1)</f>
        <v>0.6</v>
      </c>
      <c r="C3" s="3">
        <f ca="1">ROUND(0.009+RAND()*0.051,3)</f>
        <v>4.7E-2</v>
      </c>
      <c r="D3" s="3">
        <f ca="1">ROUND(0.001+RAND()*0.149,3)</f>
        <v>2.5000000000000001E-2</v>
      </c>
      <c r="E3" s="4">
        <f ca="1">ROUND(RAND()*10,1)+0.001</f>
        <v>9.4009999999999998</v>
      </c>
      <c r="F3" s="2">
        <f ca="1">ROUND(1+RAND()*9,0)</f>
        <v>4</v>
      </c>
      <c r="G3" s="2">
        <f ca="1">ROUND(1+RAND()*9,0)</f>
        <v>6</v>
      </c>
      <c r="H3" s="3">
        <f ca="1">YN(B3,C3,D3,E3,F3,G3)</f>
        <v>9.1762510257491325E-2</v>
      </c>
      <c r="I3" s="3">
        <f ca="1">YC(B3,E3,F3,G3)</f>
        <v>7.3620022486165712E-2</v>
      </c>
      <c r="L3" s="2">
        <v>1</v>
      </c>
      <c r="M3" s="4">
        <f ca="1">ROUND(0.1+RAND()*4.9,1)</f>
        <v>3.8</v>
      </c>
      <c r="N3" s="3">
        <f t="shared" ref="N3:N12" ca="1" si="0">ROUND(0.009+RAND()*0.051,3)</f>
        <v>3.5000000000000003E-2</v>
      </c>
      <c r="O3" s="3">
        <f t="shared" ref="O3:O12" ca="1" si="1">ROUND(0.001+RAND()*0.149,3)</f>
        <v>0.10100000000000001</v>
      </c>
      <c r="P3" s="2">
        <f t="shared" ref="P3:P12" ca="1" si="2">ROUND(0.9+RAND()*2.1,1)</f>
        <v>2.4</v>
      </c>
      <c r="Q3" s="3">
        <f ca="1">YNCircular(M3,N3,O3,P3)</f>
        <v>0.5844974628369074</v>
      </c>
      <c r="R3" s="3">
        <f ca="1">YCCircular(M3,N3,O3,P3)</f>
        <v>0.88057124293631028</v>
      </c>
      <c r="V3" s="4"/>
      <c r="W3" s="3"/>
      <c r="X3" s="3"/>
      <c r="Y3" s="2"/>
    </row>
    <row r="4" spans="1:25" x14ac:dyDescent="0.25">
      <c r="A4" s="2">
        <f>A3+1</f>
        <v>2</v>
      </c>
      <c r="B4" s="4">
        <f t="shared" ref="B4:B12" ca="1" si="3">ROUND(0.1+RAND()*14.9,1)</f>
        <v>11.9</v>
      </c>
      <c r="C4" s="3">
        <f t="shared" ref="C4:C12" ca="1" si="4">ROUND(0.009+RAND()*0.051,3)</f>
        <v>0.02</v>
      </c>
      <c r="D4" s="3">
        <f t="shared" ref="D4:D12" ca="1" si="5">ROUND(0.001+RAND()*0.149,3)</f>
        <v>0.124</v>
      </c>
      <c r="E4" s="4">
        <f t="shared" ref="E4:E12" ca="1" si="6">ROUND(RAND()*10,1)+0.001</f>
        <v>7.5010000000000003</v>
      </c>
      <c r="F4" s="2">
        <f t="shared" ref="F4:G12" ca="1" si="7">ROUND(1+RAND()*9,0)</f>
        <v>4</v>
      </c>
      <c r="G4" s="2">
        <f t="shared" ca="1" si="7"/>
        <v>4</v>
      </c>
      <c r="H4" s="3">
        <f t="shared" ref="H4:H12" ca="1" si="8">YN(B4,C4,D4,E4,F4,G4)</f>
        <v>0.23001826773211242</v>
      </c>
      <c r="I4" s="3">
        <f t="shared" ref="I4:I12" ca="1" si="9">YC(B4,E4,F4,G4)</f>
        <v>0.57080425987935113</v>
      </c>
      <c r="L4" s="2">
        <f>L3+1</f>
        <v>2</v>
      </c>
      <c r="M4" s="4">
        <f t="shared" ref="M4:M12" ca="1" si="10">ROUND(0.1+RAND()*4.9,1)</f>
        <v>3.7</v>
      </c>
      <c r="N4" s="3">
        <f t="shared" ca="1" si="0"/>
        <v>5.1999999999999998E-2</v>
      </c>
      <c r="O4" s="3">
        <f t="shared" ca="1" si="1"/>
        <v>0.106</v>
      </c>
      <c r="P4" s="2">
        <f t="shared" ca="1" si="2"/>
        <v>2.8</v>
      </c>
      <c r="Q4" s="3">
        <f t="shared" ref="Q4:Q12" ca="1" si="11">YNCircular(M4,N4,O4,P4)</f>
        <v>0.65968749706213914</v>
      </c>
      <c r="R4" s="3">
        <f t="shared" ref="R4:R12" ca="1" si="12">YCCircular(M4,N4,O4,P4)</f>
        <v>0.83007306073735987</v>
      </c>
    </row>
    <row r="5" spans="1:25" x14ac:dyDescent="0.25">
      <c r="A5" s="2">
        <f t="shared" ref="A5:A12" si="13">A4+1</f>
        <v>3</v>
      </c>
      <c r="B5" s="4">
        <f t="shared" ca="1" si="3"/>
        <v>14.2</v>
      </c>
      <c r="C5" s="3">
        <f t="shared" ca="1" si="4"/>
        <v>5.0999999999999997E-2</v>
      </c>
      <c r="D5" s="3">
        <f t="shared" ca="1" si="5"/>
        <v>0.14899999999999999</v>
      </c>
      <c r="E5" s="4">
        <f t="shared" ca="1" si="6"/>
        <v>0.90100000000000002</v>
      </c>
      <c r="F5" s="2">
        <f t="shared" ca="1" si="7"/>
        <v>4</v>
      </c>
      <c r="G5" s="2">
        <f t="shared" ca="1" si="7"/>
        <v>3</v>
      </c>
      <c r="H5" s="3">
        <f t="shared" ca="1" si="8"/>
        <v>0.83155842693274951</v>
      </c>
      <c r="I5" s="3">
        <f t="shared" ca="1" si="9"/>
        <v>1.1530300897006769</v>
      </c>
      <c r="L5" s="2">
        <f t="shared" ref="L5:L12" si="14">L4+1</f>
        <v>3</v>
      </c>
      <c r="M5" s="4">
        <f t="shared" ca="1" si="10"/>
        <v>2.6</v>
      </c>
      <c r="N5" s="3">
        <f t="shared" ca="1" si="0"/>
        <v>4.9000000000000002E-2</v>
      </c>
      <c r="O5" s="3">
        <f t="shared" ca="1" si="1"/>
        <v>3.7999999999999999E-2</v>
      </c>
      <c r="P5" s="2">
        <f t="shared" ca="1" si="2"/>
        <v>1.5</v>
      </c>
      <c r="Q5" s="3">
        <f ca="1">YNCircular(M5,N5,O5,P5)</f>
        <v>0.93461155065378054</v>
      </c>
      <c r="R5" s="3">
        <f t="shared" ca="1" si="12"/>
        <v>0.83377657471961564</v>
      </c>
      <c r="V5" s="6"/>
    </row>
    <row r="6" spans="1:25" x14ac:dyDescent="0.25">
      <c r="A6" s="2">
        <f t="shared" si="13"/>
        <v>4</v>
      </c>
      <c r="B6" s="4">
        <f t="shared" ca="1" si="3"/>
        <v>3.9</v>
      </c>
      <c r="C6" s="3">
        <f t="shared" ca="1" si="4"/>
        <v>0.05</v>
      </c>
      <c r="D6" s="3">
        <f t="shared" ca="1" si="5"/>
        <v>9.6000000000000002E-2</v>
      </c>
      <c r="E6" s="4">
        <f t="shared" ca="1" si="6"/>
        <v>0.80100000000000005</v>
      </c>
      <c r="F6" s="2">
        <f t="shared" ca="1" si="7"/>
        <v>2</v>
      </c>
      <c r="G6" s="2">
        <f t="shared" ca="1" si="7"/>
        <v>4</v>
      </c>
      <c r="H6" s="3">
        <f t="shared" ca="1" si="8"/>
        <v>0.55278952528929448</v>
      </c>
      <c r="I6" s="3">
        <f t="shared" ca="1" si="9"/>
        <v>0.68766293415746693</v>
      </c>
      <c r="L6" s="2">
        <f t="shared" si="14"/>
        <v>4</v>
      </c>
      <c r="M6" s="4">
        <f t="shared" ca="1" si="10"/>
        <v>2.6</v>
      </c>
      <c r="N6" s="3">
        <f t="shared" ca="1" si="0"/>
        <v>3.9E-2</v>
      </c>
      <c r="O6" s="3">
        <f t="shared" ca="1" si="1"/>
        <v>0.127</v>
      </c>
      <c r="P6" s="2">
        <f t="shared" ca="1" si="2"/>
        <v>1.3</v>
      </c>
      <c r="Q6" s="3">
        <f t="shared" ca="1" si="11"/>
        <v>0.61408771746358326</v>
      </c>
      <c r="R6" s="3">
        <f t="shared" ca="1" si="12"/>
        <v>0.87038253796928799</v>
      </c>
    </row>
    <row r="7" spans="1:25" x14ac:dyDescent="0.25">
      <c r="A7" s="2">
        <f t="shared" si="13"/>
        <v>5</v>
      </c>
      <c r="B7" s="4">
        <f t="shared" ca="1" si="3"/>
        <v>14.6</v>
      </c>
      <c r="C7" s="3">
        <f t="shared" ca="1" si="4"/>
        <v>4.1000000000000002E-2</v>
      </c>
      <c r="D7" s="3">
        <f t="shared" ca="1" si="5"/>
        <v>6.6000000000000003E-2</v>
      </c>
      <c r="E7" s="4">
        <f t="shared" ca="1" si="6"/>
        <v>0.40100000000000002</v>
      </c>
      <c r="F7" s="2">
        <f t="shared" ca="1" si="7"/>
        <v>5</v>
      </c>
      <c r="G7" s="2">
        <f t="shared" ca="1" si="7"/>
        <v>6</v>
      </c>
      <c r="H7" s="3">
        <f t="shared" ca="1" si="8"/>
        <v>0.82964903270029766</v>
      </c>
      <c r="I7" s="3">
        <f t="shared" ca="1" si="9"/>
        <v>1.0394347739199215</v>
      </c>
      <c r="L7" s="2">
        <f t="shared" si="14"/>
        <v>5</v>
      </c>
      <c r="M7" s="4">
        <f t="shared" ca="1" si="10"/>
        <v>0.4</v>
      </c>
      <c r="N7" s="3">
        <f t="shared" ca="1" si="0"/>
        <v>2.5999999999999999E-2</v>
      </c>
      <c r="O7" s="3">
        <f t="shared" ca="1" si="1"/>
        <v>5.8000000000000003E-2</v>
      </c>
      <c r="P7" s="2">
        <f t="shared" ca="1" si="2"/>
        <v>2.1</v>
      </c>
      <c r="Q7" s="3">
        <f t="shared" ca="1" si="11"/>
        <v>0.20164952144697162</v>
      </c>
      <c r="R7" s="3">
        <f t="shared" ca="1" si="12"/>
        <v>0.28851024781901885</v>
      </c>
    </row>
    <row r="8" spans="1:25" x14ac:dyDescent="0.25">
      <c r="A8" s="2">
        <f t="shared" si="13"/>
        <v>6</v>
      </c>
      <c r="B8" s="4">
        <f t="shared" ca="1" si="3"/>
        <v>8.8000000000000007</v>
      </c>
      <c r="C8" s="3">
        <f t="shared" ca="1" si="4"/>
        <v>3.5000000000000003E-2</v>
      </c>
      <c r="D8" s="3">
        <f t="shared" ca="1" si="5"/>
        <v>8.9999999999999993E-3</v>
      </c>
      <c r="E8" s="4">
        <f t="shared" ca="1" si="6"/>
        <v>4.7010000000000005</v>
      </c>
      <c r="F8" s="2">
        <f t="shared" ca="1" si="7"/>
        <v>2</v>
      </c>
      <c r="G8" s="2">
        <f t="shared" ca="1" si="7"/>
        <v>6</v>
      </c>
      <c r="H8" s="3">
        <f t="shared" ca="1" si="8"/>
        <v>0.69375051547780042</v>
      </c>
      <c r="I8" s="3">
        <f t="shared" ca="1" si="9"/>
        <v>0.59476501806203619</v>
      </c>
      <c r="L8" s="2">
        <f t="shared" si="14"/>
        <v>6</v>
      </c>
      <c r="M8" s="4">
        <f t="shared" ca="1" si="10"/>
        <v>3.9</v>
      </c>
      <c r="N8" s="3">
        <f t="shared" ca="1" si="0"/>
        <v>5.7000000000000002E-2</v>
      </c>
      <c r="O8" s="3">
        <f t="shared" ca="1" si="1"/>
        <v>0.01</v>
      </c>
      <c r="P8" s="2">
        <f t="shared" ca="1" si="2"/>
        <v>1.8</v>
      </c>
      <c r="Q8" s="3" t="str">
        <f t="shared" ca="1" si="11"/>
        <v>Supera capacidad!</v>
      </c>
      <c r="R8" s="3" t="str">
        <f t="shared" ca="1" si="12"/>
        <v>Supera capacidad!</v>
      </c>
    </row>
    <row r="9" spans="1:25" x14ac:dyDescent="0.25">
      <c r="A9" s="2">
        <f t="shared" si="13"/>
        <v>7</v>
      </c>
      <c r="B9" s="4">
        <f t="shared" ca="1" si="3"/>
        <v>8.4</v>
      </c>
      <c r="C9" s="3">
        <f t="shared" ca="1" si="4"/>
        <v>4.2999999999999997E-2</v>
      </c>
      <c r="D9" s="3">
        <f t="shared" ca="1" si="5"/>
        <v>1.4E-2</v>
      </c>
      <c r="E9" s="4">
        <f t="shared" ca="1" si="6"/>
        <v>7.601</v>
      </c>
      <c r="F9" s="2">
        <f t="shared" ca="1" si="7"/>
        <v>7</v>
      </c>
      <c r="G9" s="2">
        <f t="shared" ca="1" si="7"/>
        <v>5</v>
      </c>
      <c r="H9" s="3">
        <f t="shared" ca="1" si="8"/>
        <v>0.52232006660426533</v>
      </c>
      <c r="I9" s="3">
        <f t="shared" ca="1" si="9"/>
        <v>0.44164562127408735</v>
      </c>
      <c r="L9" s="2">
        <f t="shared" si="14"/>
        <v>7</v>
      </c>
      <c r="M9" s="4">
        <f t="shared" ca="1" si="10"/>
        <v>3.4</v>
      </c>
      <c r="N9" s="3">
        <f t="shared" ca="1" si="0"/>
        <v>4.2999999999999997E-2</v>
      </c>
      <c r="O9" s="3">
        <f t="shared" ca="1" si="1"/>
        <v>0.114</v>
      </c>
      <c r="P9" s="2">
        <f t="shared" ca="1" si="2"/>
        <v>1.2</v>
      </c>
      <c r="Q9" s="3">
        <f t="shared" ca="1" si="11"/>
        <v>0.85324218535041141</v>
      </c>
      <c r="R9" s="3">
        <f t="shared" ca="1" si="12"/>
        <v>1.0067111544793883</v>
      </c>
    </row>
    <row r="10" spans="1:25" x14ac:dyDescent="0.25">
      <c r="A10" s="2">
        <f t="shared" si="13"/>
        <v>8</v>
      </c>
      <c r="B10" s="4">
        <f t="shared" ca="1" si="3"/>
        <v>6</v>
      </c>
      <c r="C10" s="3">
        <f t="shared" ca="1" si="4"/>
        <v>5.1999999999999998E-2</v>
      </c>
      <c r="D10" s="3">
        <f t="shared" ca="1" si="5"/>
        <v>5.2999999999999999E-2</v>
      </c>
      <c r="E10" s="4">
        <f t="shared" ca="1" si="6"/>
        <v>1.4009999999999998</v>
      </c>
      <c r="F10" s="2">
        <f t="shared" ca="1" si="7"/>
        <v>4</v>
      </c>
      <c r="G10" s="2">
        <f t="shared" ca="1" si="7"/>
        <v>6</v>
      </c>
      <c r="H10" s="3">
        <f t="shared" ca="1" si="8"/>
        <v>0.60830104979607869</v>
      </c>
      <c r="I10" s="3">
        <f t="shared" ca="1" si="9"/>
        <v>0.65736896913903464</v>
      </c>
      <c r="L10" s="2">
        <f t="shared" si="14"/>
        <v>8</v>
      </c>
      <c r="M10" s="4">
        <f t="shared" ca="1" si="10"/>
        <v>0.2</v>
      </c>
      <c r="N10" s="3">
        <f t="shared" ca="1" si="0"/>
        <v>8.9999999999999993E-3</v>
      </c>
      <c r="O10" s="3">
        <f t="shared" ca="1" si="1"/>
        <v>5.1999999999999998E-2</v>
      </c>
      <c r="P10" s="2">
        <f t="shared" ca="1" si="2"/>
        <v>2.7</v>
      </c>
      <c r="Q10" s="3">
        <f t="shared" ca="1" si="11"/>
        <v>8.552456080160975E-2</v>
      </c>
      <c r="R10" s="3">
        <f t="shared" ca="1" si="12"/>
        <v>0.19028051462183507</v>
      </c>
    </row>
    <row r="11" spans="1:25" x14ac:dyDescent="0.25">
      <c r="A11" s="2">
        <f t="shared" si="13"/>
        <v>9</v>
      </c>
      <c r="B11" s="4">
        <f t="shared" ca="1" si="3"/>
        <v>4.3</v>
      </c>
      <c r="C11" s="3">
        <f t="shared" ca="1" si="4"/>
        <v>3.9E-2</v>
      </c>
      <c r="D11" s="3">
        <f t="shared" ca="1" si="5"/>
        <v>8.4000000000000005E-2</v>
      </c>
      <c r="E11" s="4">
        <f t="shared" ca="1" si="6"/>
        <v>9.3010000000000002</v>
      </c>
      <c r="F11" s="2">
        <f t="shared" ca="1" si="7"/>
        <v>3</v>
      </c>
      <c r="G11" s="2">
        <f t="shared" ca="1" si="7"/>
        <v>5</v>
      </c>
      <c r="H11" s="3">
        <f t="shared" ca="1" si="8"/>
        <v>0.18597745135486674</v>
      </c>
      <c r="I11" s="3">
        <f t="shared" ca="1" si="9"/>
        <v>0.26834924256089393</v>
      </c>
      <c r="L11" s="2">
        <f t="shared" si="14"/>
        <v>9</v>
      </c>
      <c r="M11" s="4">
        <f t="shared" ca="1" si="10"/>
        <v>3.7</v>
      </c>
      <c r="N11" s="3">
        <f t="shared" ca="1" si="0"/>
        <v>1.4E-2</v>
      </c>
      <c r="O11" s="3">
        <f t="shared" ca="1" si="1"/>
        <v>4.1000000000000002E-2</v>
      </c>
      <c r="P11" s="2">
        <f t="shared" ca="1" si="2"/>
        <v>1.9</v>
      </c>
      <c r="Q11" s="3">
        <f t="shared" ca="1" si="11"/>
        <v>0.4943096567476104</v>
      </c>
      <c r="R11" s="3">
        <f t="shared" ca="1" si="12"/>
        <v>0.9322941926828775</v>
      </c>
    </row>
    <row r="12" spans="1:25" x14ac:dyDescent="0.25">
      <c r="A12" s="2">
        <f t="shared" si="13"/>
        <v>10</v>
      </c>
      <c r="B12" s="4">
        <f t="shared" ca="1" si="3"/>
        <v>3.8</v>
      </c>
      <c r="C12" s="3">
        <f t="shared" ca="1" si="4"/>
        <v>5.8000000000000003E-2</v>
      </c>
      <c r="D12" s="3">
        <f t="shared" ca="1" si="5"/>
        <v>2.9000000000000001E-2</v>
      </c>
      <c r="E12" s="4">
        <f t="shared" ca="1" si="6"/>
        <v>0.20100000000000001</v>
      </c>
      <c r="F12" s="2">
        <f t="shared" ca="1" si="7"/>
        <v>5</v>
      </c>
      <c r="G12" s="2">
        <f t="shared" ca="1" si="7"/>
        <v>6</v>
      </c>
      <c r="H12" s="3">
        <f t="shared" ca="1" si="8"/>
        <v>0.67602765749219962</v>
      </c>
      <c r="I12" s="3">
        <f t="shared" ca="1" si="9"/>
        <v>0.60958517225906184</v>
      </c>
      <c r="L12" s="2">
        <f t="shared" si="14"/>
        <v>10</v>
      </c>
      <c r="M12" s="4">
        <f t="shared" ca="1" si="10"/>
        <v>4.2</v>
      </c>
      <c r="N12" s="3">
        <f t="shared" ca="1" si="0"/>
        <v>1.9E-2</v>
      </c>
      <c r="O12" s="3">
        <f t="shared" ca="1" si="1"/>
        <v>0.129</v>
      </c>
      <c r="P12" s="2">
        <f t="shared" ca="1" si="2"/>
        <v>1.1000000000000001</v>
      </c>
      <c r="Q12" s="3">
        <f t="shared" ca="1" si="11"/>
        <v>0.58401297886210879</v>
      </c>
      <c r="R12" s="3">
        <f t="shared" ca="1" si="12"/>
        <v>1.0507547534513111</v>
      </c>
    </row>
    <row r="13" spans="1:25" x14ac:dyDescent="0.25">
      <c r="A13" s="2"/>
      <c r="B13" s="4"/>
      <c r="C13" s="3"/>
      <c r="D13" s="3"/>
      <c r="E13" s="4"/>
      <c r="F13" s="2"/>
      <c r="G13" s="2"/>
      <c r="H13" s="3"/>
      <c r="I13" s="3"/>
      <c r="L13" s="2"/>
      <c r="M13" s="4"/>
      <c r="N13" s="3"/>
      <c r="O13" s="3"/>
      <c r="P13" s="2"/>
      <c r="Q13" s="3"/>
      <c r="R13" s="3"/>
    </row>
    <row r="14" spans="1:25" x14ac:dyDescent="0.25">
      <c r="A14" s="2"/>
      <c r="B14" s="4"/>
      <c r="C14" s="3"/>
      <c r="D14" s="3"/>
      <c r="E14" s="4"/>
      <c r="F14" s="2"/>
      <c r="G14" s="2"/>
      <c r="H14" s="3"/>
      <c r="I14" s="3"/>
      <c r="L14" s="2"/>
      <c r="M14" s="4"/>
      <c r="N14" s="3"/>
      <c r="O14" s="3"/>
      <c r="P14" s="2"/>
      <c r="Q14" s="3"/>
      <c r="R14" s="3"/>
    </row>
    <row r="15" spans="1:25" x14ac:dyDescent="0.25">
      <c r="A15" s="2"/>
      <c r="B15" s="4"/>
      <c r="C15" s="3"/>
      <c r="D15" s="3"/>
      <c r="E15" s="4"/>
      <c r="F15" s="2"/>
      <c r="G15" s="2"/>
      <c r="H15" s="3"/>
      <c r="I15" s="3"/>
      <c r="L15" s="2"/>
      <c r="M15" s="4"/>
      <c r="N15" s="3"/>
      <c r="O15" s="3"/>
      <c r="P15" s="2"/>
      <c r="Q15" s="3"/>
      <c r="R15" s="3"/>
    </row>
    <row r="16" spans="1:25" x14ac:dyDescent="0.25">
      <c r="A16" s="2"/>
      <c r="B16" s="4"/>
      <c r="C16" s="3"/>
      <c r="D16" s="3"/>
      <c r="E16" s="4"/>
      <c r="F16" s="2"/>
      <c r="G16" s="2"/>
      <c r="H16" s="3"/>
      <c r="I16" s="3"/>
      <c r="L16" s="2"/>
      <c r="M16" s="4"/>
      <c r="N16" s="3"/>
      <c r="O16" s="3"/>
      <c r="P16" s="2"/>
      <c r="Q16" s="3"/>
      <c r="R16" s="3"/>
    </row>
    <row r="17" spans="1:18" x14ac:dyDescent="0.25">
      <c r="A17" s="2"/>
      <c r="B17" s="4"/>
      <c r="C17" s="3"/>
      <c r="D17" s="3"/>
      <c r="E17" s="4"/>
      <c r="F17" s="2"/>
      <c r="G17" s="2"/>
      <c r="H17" s="3"/>
      <c r="I17" s="3"/>
      <c r="L17" s="2"/>
      <c r="M17" s="4"/>
      <c r="N17" s="3"/>
      <c r="O17" s="3"/>
      <c r="P17" s="2"/>
      <c r="Q17" s="3"/>
      <c r="R17" s="3"/>
    </row>
    <row r="18" spans="1:18" x14ac:dyDescent="0.25">
      <c r="A18" s="2"/>
      <c r="B18" s="4"/>
      <c r="C18" s="3"/>
      <c r="D18" s="3"/>
      <c r="E18" s="4"/>
      <c r="F18" s="2"/>
      <c r="G18" s="2"/>
      <c r="H18" s="3"/>
      <c r="I18" s="3"/>
      <c r="L18" s="2"/>
      <c r="M18" s="4"/>
      <c r="N18" s="3"/>
      <c r="O18" s="3"/>
      <c r="P18" s="2"/>
      <c r="Q18" s="3"/>
      <c r="R18" s="3"/>
    </row>
    <row r="19" spans="1:18" x14ac:dyDescent="0.25">
      <c r="A19" s="2"/>
      <c r="B19" s="4"/>
      <c r="C19" s="3"/>
      <c r="D19" s="3"/>
      <c r="E19" s="4"/>
      <c r="F19" s="2"/>
      <c r="G19" s="2"/>
      <c r="H19" s="3"/>
      <c r="I19" s="3"/>
      <c r="L19" s="2"/>
      <c r="M19" s="4"/>
      <c r="N19" s="3"/>
      <c r="O19" s="3"/>
      <c r="P19" s="2"/>
      <c r="Q19" s="3"/>
      <c r="R19" s="3"/>
    </row>
    <row r="20" spans="1:18" x14ac:dyDescent="0.25">
      <c r="A20" s="2"/>
      <c r="B20" s="4"/>
      <c r="C20" s="3"/>
      <c r="D20" s="3"/>
      <c r="E20" s="4"/>
      <c r="F20" s="2"/>
      <c r="G20" s="2"/>
      <c r="H20" s="3"/>
      <c r="I20" s="3"/>
      <c r="L20" s="2"/>
      <c r="M20" s="4"/>
      <c r="N20" s="3"/>
      <c r="O20" s="3"/>
      <c r="P20" s="2"/>
      <c r="Q20" s="3"/>
      <c r="R20" s="3"/>
    </row>
    <row r="21" spans="1:18" x14ac:dyDescent="0.25">
      <c r="A21" s="2"/>
      <c r="B21" s="4"/>
      <c r="C21" s="3"/>
      <c r="D21" s="3"/>
      <c r="E21" s="4"/>
      <c r="F21" s="2"/>
      <c r="G21" s="2"/>
      <c r="H21" s="3"/>
      <c r="I21" s="3"/>
      <c r="L21" s="2"/>
      <c r="M21" s="4"/>
      <c r="N21" s="3"/>
      <c r="O21" s="3"/>
      <c r="P21" s="2"/>
      <c r="Q21" s="3"/>
      <c r="R21" s="3"/>
    </row>
    <row r="22" spans="1:18" x14ac:dyDescent="0.25">
      <c r="A22" s="2"/>
      <c r="B22" s="4"/>
      <c r="C22" s="3"/>
      <c r="D22" s="3"/>
      <c r="E22" s="4"/>
      <c r="F22" s="2"/>
      <c r="G22" s="2"/>
      <c r="H22" s="3"/>
      <c r="I22" s="3"/>
      <c r="L22" s="2"/>
      <c r="M22" s="4"/>
      <c r="N22" s="3"/>
      <c r="O22" s="3"/>
      <c r="P22" s="2"/>
      <c r="Q22" s="3"/>
      <c r="R22" s="3"/>
    </row>
  </sheetData>
  <mergeCells count="2">
    <mergeCell ref="A1:I1"/>
    <mergeCell ref="L1:R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eatorizar">
                <anchor moveWithCells="1" sizeWithCells="1">
                  <from>
                    <xdr:col>9</xdr:col>
                    <xdr:colOff>209550</xdr:colOff>
                    <xdr:row>1</xdr:row>
                    <xdr:rowOff>180975</xdr:rowOff>
                  </from>
                  <to>
                    <xdr:col>10</xdr:col>
                    <xdr:colOff>523875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203"/>
  <sheetViews>
    <sheetView workbookViewId="0">
      <selection activeCell="A2" sqref="A2"/>
    </sheetView>
  </sheetViews>
  <sheetFormatPr defaultColWidth="11.42578125" defaultRowHeight="15" x14ac:dyDescent="0.25"/>
  <cols>
    <col min="9" max="9" width="11.42578125" style="7"/>
    <col min="10" max="10" width="12" style="7" bestFit="1" customWidth="1"/>
  </cols>
  <sheetData>
    <row r="1" spans="1:10" ht="34.5" x14ac:dyDescent="0.35">
      <c r="A1" s="1" t="s">
        <v>9</v>
      </c>
      <c r="B1" s="1" t="s">
        <v>1</v>
      </c>
      <c r="C1" s="1" t="s">
        <v>3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17</v>
      </c>
      <c r="J1" s="1" t="s">
        <v>18</v>
      </c>
    </row>
    <row r="2" spans="1:10" x14ac:dyDescent="0.25">
      <c r="A2" s="1">
        <v>1.5</v>
      </c>
      <c r="B2" s="1">
        <v>1.2999999999999999E-2</v>
      </c>
      <c r="C2" s="1">
        <v>0.01</v>
      </c>
      <c r="D2" s="8">
        <v>0.01</v>
      </c>
      <c r="E2" s="3">
        <f>2*ACOS(1-2*D2/A2)</f>
        <v>0.326962612742284</v>
      </c>
      <c r="F2" s="3">
        <f>A2^2*(E2-SIN(E2))/8</f>
        <v>1.629723277338074E-3</v>
      </c>
      <c r="G2" s="3">
        <f>A2*E2/2</f>
        <v>0.245221959556713</v>
      </c>
      <c r="H2" s="3">
        <f>(1/B2)*F2*(F2/G2)^(2/3)*SQRT(C2)</f>
        <v>4.4313922078929592E-4</v>
      </c>
      <c r="I2" s="10">
        <f>D2/A2</f>
        <v>6.6666666666666671E-3</v>
      </c>
      <c r="J2" s="11">
        <f>H2/$H$151</f>
        <v>6.2688849193736238E-5</v>
      </c>
    </row>
    <row r="3" spans="1:10" x14ac:dyDescent="0.25">
      <c r="A3" s="7">
        <f>A2</f>
        <v>1.5</v>
      </c>
      <c r="B3" s="7">
        <v>1.2999999999999999E-2</v>
      </c>
      <c r="C3" s="7">
        <v>0.01</v>
      </c>
      <c r="D3" s="9">
        <f>D2+0.01</f>
        <v>0.02</v>
      </c>
      <c r="E3" s="3">
        <f>2*ACOS(1-2*D3/A3)</f>
        <v>0.46291282355725016</v>
      </c>
      <c r="F3" s="3">
        <f>A3^2*(E3-SIN(E3))/8</f>
        <v>4.6002827266544352E-3</v>
      </c>
      <c r="G3" s="3">
        <f>A3*E3/2</f>
        <v>0.34718461766793762</v>
      </c>
      <c r="H3" s="3">
        <f>(1/B3)*F3*(F3/G3)^(2/3)*SQRT(C3)</f>
        <v>1.981483849877278E-3</v>
      </c>
      <c r="I3" s="10">
        <f t="shared" ref="I3" si="0">D3/A3</f>
        <v>1.3333333333333334E-2</v>
      </c>
      <c r="J3" s="11">
        <f t="shared" ref="J3:J66" si="1">H3/$H$151</f>
        <v>2.8031132523889896E-4</v>
      </c>
    </row>
    <row r="4" spans="1:10" x14ac:dyDescent="0.25">
      <c r="A4" s="7">
        <f t="shared" ref="A4:A67" si="2">A3</f>
        <v>1.5</v>
      </c>
      <c r="B4" s="7">
        <v>1.2999999999999999E-2</v>
      </c>
      <c r="C4" s="7">
        <v>0.01</v>
      </c>
      <c r="D4" s="9">
        <f t="shared" ref="D4:D67" si="3">D3+0.01</f>
        <v>0.03</v>
      </c>
      <c r="E4" s="3">
        <f t="shared" ref="E4:E67" si="4">2*ACOS(1-2*D4/A4)</f>
        <v>0.56758821841665608</v>
      </c>
      <c r="F4" s="3">
        <f t="shared" ref="F4:F67" si="5">A4^2*(E4-SIN(E4))/8</f>
        <v>8.4341864296844371E-3</v>
      </c>
      <c r="G4" s="3">
        <f t="shared" ref="G4:G67" si="6">A4*E4/2</f>
        <v>0.42569116381249206</v>
      </c>
      <c r="H4" s="3">
        <f t="shared" ref="H4:H67" si="7">(1/B4)*F4*(F4/G4)^(2/3)*SQRT(C4)</f>
        <v>4.7504222905765869E-3</v>
      </c>
      <c r="I4" s="10">
        <f t="shared" ref="I4:I67" si="8">D4/A4</f>
        <v>0.02</v>
      </c>
      <c r="J4" s="11">
        <f t="shared" si="1"/>
        <v>6.7202019728720009E-4</v>
      </c>
    </row>
    <row r="5" spans="1:10" x14ac:dyDescent="0.25">
      <c r="A5" s="7">
        <f t="shared" si="2"/>
        <v>1.5</v>
      </c>
      <c r="B5" s="7">
        <v>1.2999999999999999E-2</v>
      </c>
      <c r="C5" s="7">
        <v>0.01</v>
      </c>
      <c r="D5" s="9">
        <f t="shared" si="3"/>
        <v>0.04</v>
      </c>
      <c r="E5" s="3">
        <f t="shared" si="4"/>
        <v>0.65613576409190077</v>
      </c>
      <c r="F5" s="3">
        <f t="shared" si="5"/>
        <v>1.2958930825804169E-2</v>
      </c>
      <c r="G5" s="3">
        <f t="shared" si="6"/>
        <v>0.49210182306892558</v>
      </c>
      <c r="H5" s="3">
        <f t="shared" si="7"/>
        <v>8.8233861127703841E-3</v>
      </c>
      <c r="I5" s="10">
        <f t="shared" si="8"/>
        <v>2.6666666666666668E-2</v>
      </c>
      <c r="J5" s="11">
        <f t="shared" si="1"/>
        <v>1.2482034887734996E-3</v>
      </c>
    </row>
    <row r="6" spans="1:10" x14ac:dyDescent="0.25">
      <c r="A6" s="7">
        <f t="shared" si="2"/>
        <v>1.5</v>
      </c>
      <c r="B6" s="7">
        <v>1.2999999999999999E-2</v>
      </c>
      <c r="C6" s="7">
        <v>0.01</v>
      </c>
      <c r="D6" s="9">
        <f t="shared" si="3"/>
        <v>0.05</v>
      </c>
      <c r="E6" s="3">
        <f t="shared" si="4"/>
        <v>0.73441604111567393</v>
      </c>
      <c r="F6" s="3">
        <f t="shared" si="5"/>
        <v>1.8073743314075717E-2</v>
      </c>
      <c r="G6" s="3">
        <f t="shared" si="6"/>
        <v>0.55081203083675545</v>
      </c>
      <c r="H6" s="3">
        <f t="shared" si="7"/>
        <v>1.4249552293056739E-2</v>
      </c>
      <c r="I6" s="10">
        <f t="shared" si="8"/>
        <v>3.3333333333333333E-2</v>
      </c>
      <c r="J6" s="11">
        <f t="shared" si="1"/>
        <v>2.0158180383731674E-3</v>
      </c>
    </row>
    <row r="7" spans="1:10" x14ac:dyDescent="0.25">
      <c r="A7" s="7">
        <f t="shared" si="2"/>
        <v>1.5</v>
      </c>
      <c r="B7" s="7">
        <v>1.2999999999999999E-2</v>
      </c>
      <c r="C7" s="7">
        <v>0.01</v>
      </c>
      <c r="D7" s="9">
        <f t="shared" si="3"/>
        <v>6.0000000000000005E-2</v>
      </c>
      <c r="E7" s="3">
        <f t="shared" si="4"/>
        <v>0.80543168316132263</v>
      </c>
      <c r="F7" s="3">
        <f t="shared" si="5"/>
        <v>2.3709910186674957E-2</v>
      </c>
      <c r="G7" s="3">
        <f t="shared" si="6"/>
        <v>0.60407376237099197</v>
      </c>
      <c r="H7" s="3">
        <f t="shared" si="7"/>
        <v>2.1064274902178645E-2</v>
      </c>
      <c r="I7" s="10">
        <f t="shared" si="8"/>
        <v>0.04</v>
      </c>
      <c r="J7" s="11">
        <f t="shared" si="1"/>
        <v>2.979865222414944E-3</v>
      </c>
    </row>
    <row r="8" spans="1:10" x14ac:dyDescent="0.25">
      <c r="A8" s="7">
        <f t="shared" si="2"/>
        <v>1.5</v>
      </c>
      <c r="B8" s="7">
        <v>1.2999999999999999E-2</v>
      </c>
      <c r="C8" s="7">
        <v>0.01</v>
      </c>
      <c r="D8" s="9">
        <f t="shared" si="3"/>
        <v>7.0000000000000007E-2</v>
      </c>
      <c r="E8" s="3">
        <f t="shared" si="4"/>
        <v>0.87096471344832249</v>
      </c>
      <c r="F8" s="3">
        <f t="shared" si="5"/>
        <v>2.9816454191373985E-2</v>
      </c>
      <c r="G8" s="3">
        <f t="shared" si="6"/>
        <v>0.65322353508624187</v>
      </c>
      <c r="H8" s="3">
        <f t="shared" si="7"/>
        <v>2.929378058021655E-2</v>
      </c>
      <c r="I8" s="10">
        <f t="shared" si="8"/>
        <v>4.6666666666666669E-2</v>
      </c>
      <c r="J8" s="11">
        <f t="shared" si="1"/>
        <v>4.1440552019672483E-3</v>
      </c>
    </row>
    <row r="9" spans="1:10" x14ac:dyDescent="0.25">
      <c r="A9" s="7">
        <f t="shared" si="2"/>
        <v>1.5</v>
      </c>
      <c r="B9" s="7">
        <v>1.2999999999999999E-2</v>
      </c>
      <c r="C9" s="7">
        <v>0.01</v>
      </c>
      <c r="D9" s="9">
        <f t="shared" si="3"/>
        <v>0.08</v>
      </c>
      <c r="E9" s="3">
        <f t="shared" si="4"/>
        <v>0.93217519595766385</v>
      </c>
      <c r="F9" s="3">
        <f t="shared" si="5"/>
        <v>3.6353459941966572E-2</v>
      </c>
      <c r="G9" s="3">
        <f t="shared" si="6"/>
        <v>0.69913139696824789</v>
      </c>
      <c r="H9" s="3">
        <f t="shared" si="7"/>
        <v>3.8957734683018781E-2</v>
      </c>
      <c r="I9" s="10">
        <f t="shared" si="8"/>
        <v>5.3333333333333337E-2</v>
      </c>
      <c r="J9" s="11">
        <f t="shared" si="1"/>
        <v>5.5111699436655786E-3</v>
      </c>
    </row>
    <row r="10" spans="1:10" x14ac:dyDescent="0.25">
      <c r="A10" s="7">
        <f t="shared" si="2"/>
        <v>1.5</v>
      </c>
      <c r="B10" s="7">
        <v>1.2999999999999999E-2</v>
      </c>
      <c r="C10" s="7">
        <v>0.01</v>
      </c>
      <c r="D10" s="9">
        <f t="shared" si="3"/>
        <v>0.09</v>
      </c>
      <c r="E10" s="3">
        <f t="shared" si="4"/>
        <v>0.98986825268179057</v>
      </c>
      <c r="F10" s="3">
        <f t="shared" si="5"/>
        <v>4.3288472743402917E-2</v>
      </c>
      <c r="G10" s="3">
        <f t="shared" si="6"/>
        <v>0.74240118951134293</v>
      </c>
      <c r="H10" s="3">
        <f t="shared" si="7"/>
        <v>5.0070813559900479E-2</v>
      </c>
      <c r="I10" s="10">
        <f t="shared" si="8"/>
        <v>0.06</v>
      </c>
      <c r="J10" s="11">
        <f t="shared" si="1"/>
        <v>7.083285642542487E-3</v>
      </c>
    </row>
    <row r="11" spans="1:10" x14ac:dyDescent="0.25">
      <c r="A11" s="7">
        <f t="shared" si="2"/>
        <v>1.5</v>
      </c>
      <c r="B11" s="7">
        <v>1.2999999999999999E-2</v>
      </c>
      <c r="C11" s="7">
        <v>0.01</v>
      </c>
      <c r="D11" s="9">
        <f t="shared" si="3"/>
        <v>9.9999999999999992E-2</v>
      </c>
      <c r="E11" s="3">
        <f t="shared" si="4"/>
        <v>1.044629643612097</v>
      </c>
      <c r="F11" s="3">
        <f t="shared" si="5"/>
        <v>5.0594357125596137E-2</v>
      </c>
      <c r="G11" s="3">
        <f t="shared" si="6"/>
        <v>0.78347223270907274</v>
      </c>
      <c r="H11" s="3">
        <f t="shared" si="7"/>
        <v>6.2643744781543664E-2</v>
      </c>
      <c r="I11" s="10">
        <f t="shared" si="8"/>
        <v>6.6666666666666666E-2</v>
      </c>
      <c r="J11" s="11">
        <f t="shared" si="1"/>
        <v>8.8619198782414598E-3</v>
      </c>
    </row>
    <row r="12" spans="1:10" x14ac:dyDescent="0.25">
      <c r="A12" s="7">
        <f t="shared" si="2"/>
        <v>1.5</v>
      </c>
      <c r="B12" s="7">
        <v>1.2999999999999999E-2</v>
      </c>
      <c r="C12" s="7">
        <v>0.01</v>
      </c>
      <c r="D12" s="9">
        <f t="shared" si="3"/>
        <v>0.10999999999999999</v>
      </c>
      <c r="E12" s="3">
        <f t="shared" si="4"/>
        <v>1.0969012640336215</v>
      </c>
      <c r="F12" s="3">
        <f t="shared" si="5"/>
        <v>5.8247931120436559E-2</v>
      </c>
      <c r="G12" s="3">
        <f t="shared" si="6"/>
        <v>0.82267594802521615</v>
      </c>
      <c r="H12" s="3">
        <f t="shared" si="7"/>
        <v>7.6684034681244434E-2</v>
      </c>
      <c r="I12" s="10">
        <f t="shared" si="8"/>
        <v>7.333333333333332E-2</v>
      </c>
      <c r="J12" s="11">
        <f t="shared" si="1"/>
        <v>1.0848134536901031E-2</v>
      </c>
    </row>
    <row r="13" spans="1:10" x14ac:dyDescent="0.25">
      <c r="A13" s="7">
        <f t="shared" si="2"/>
        <v>1.5</v>
      </c>
      <c r="B13" s="7">
        <v>1.2999999999999999E-2</v>
      </c>
      <c r="C13" s="7">
        <v>0.01</v>
      </c>
      <c r="D13" s="9">
        <f t="shared" si="3"/>
        <v>0.11999999999999998</v>
      </c>
      <c r="E13" s="3">
        <f t="shared" si="4"/>
        <v>1.1470262088461931</v>
      </c>
      <c r="F13" s="3">
        <f t="shared" si="5"/>
        <v>6.6229047875856734E-2</v>
      </c>
      <c r="G13" s="3">
        <f t="shared" si="6"/>
        <v>0.86026965663464483</v>
      </c>
      <c r="H13" s="3">
        <f t="shared" si="7"/>
        <v>9.21964991427906E-2</v>
      </c>
      <c r="I13" s="10">
        <f t="shared" si="8"/>
        <v>7.9999999999999988E-2</v>
      </c>
      <c r="J13" s="11">
        <f t="shared" si="1"/>
        <v>1.3042610899252729E-2</v>
      </c>
    </row>
    <row r="14" spans="1:10" x14ac:dyDescent="0.25">
      <c r="A14" s="7">
        <f t="shared" si="2"/>
        <v>1.5</v>
      </c>
      <c r="B14" s="7">
        <v>1.2999999999999999E-2</v>
      </c>
      <c r="C14" s="7">
        <v>0.01</v>
      </c>
      <c r="D14" s="9">
        <f t="shared" si="3"/>
        <v>0.12999999999999998</v>
      </c>
      <c r="E14" s="3">
        <f t="shared" si="4"/>
        <v>1.195277173766278</v>
      </c>
      <c r="F14" s="3">
        <f t="shared" si="5"/>
        <v>7.4519951831251693E-2</v>
      </c>
      <c r="G14" s="3">
        <f t="shared" si="6"/>
        <v>0.89645788032470852</v>
      </c>
      <c r="H14" s="3">
        <f t="shared" si="7"/>
        <v>0.10918366392625255</v>
      </c>
      <c r="I14" s="10">
        <f t="shared" si="8"/>
        <v>8.6666666666666656E-2</v>
      </c>
      <c r="J14" s="11">
        <f t="shared" si="1"/>
        <v>1.5445706272853016E-2</v>
      </c>
    </row>
    <row r="15" spans="1:10" x14ac:dyDescent="0.25">
      <c r="A15" s="7">
        <f t="shared" si="2"/>
        <v>1.5</v>
      </c>
      <c r="B15" s="7">
        <v>1.2999999999999999E-2</v>
      </c>
      <c r="C15" s="7">
        <v>0.01</v>
      </c>
      <c r="D15" s="9">
        <f t="shared" si="3"/>
        <v>0.13999999999999999</v>
      </c>
      <c r="E15" s="3">
        <f t="shared" si="4"/>
        <v>1.2418751556711745</v>
      </c>
      <c r="F15" s="3">
        <f t="shared" si="5"/>
        <v>8.3104811935406378E-2</v>
      </c>
      <c r="G15" s="3">
        <f t="shared" si="6"/>
        <v>0.93140636675338084</v>
      </c>
      <c r="H15" s="3">
        <f t="shared" si="7"/>
        <v>0.12764607481558807</v>
      </c>
      <c r="I15" s="10">
        <f t="shared" si="8"/>
        <v>9.3333333333333324E-2</v>
      </c>
      <c r="J15" s="11">
        <f t="shared" si="1"/>
        <v>1.805749786722571E-2</v>
      </c>
    </row>
    <row r="16" spans="1:10" x14ac:dyDescent="0.25">
      <c r="A16" s="7">
        <f t="shared" si="2"/>
        <v>1.5</v>
      </c>
      <c r="B16" s="7">
        <v>1.2999999999999999E-2</v>
      </c>
      <c r="C16" s="7">
        <v>0.01</v>
      </c>
      <c r="D16" s="9">
        <f t="shared" si="3"/>
        <v>0.15</v>
      </c>
      <c r="E16" s="3">
        <f t="shared" si="4"/>
        <v>1.2870022175865685</v>
      </c>
      <c r="F16" s="3">
        <f t="shared" si="5"/>
        <v>9.1969373696222406E-2</v>
      </c>
      <c r="G16" s="3">
        <f t="shared" si="6"/>
        <v>0.96525166318992639</v>
      </c>
      <c r="H16" s="3">
        <f t="shared" si="7"/>
        <v>0.14758254328652984</v>
      </c>
      <c r="I16" s="10">
        <f t="shared" si="8"/>
        <v>9.9999999999999992E-2</v>
      </c>
      <c r="J16" s="11">
        <f t="shared" si="1"/>
        <v>2.0877817547358016E-2</v>
      </c>
    </row>
    <row r="17" spans="1:10" x14ac:dyDescent="0.25">
      <c r="A17" s="7">
        <f t="shared" si="2"/>
        <v>1.5</v>
      </c>
      <c r="B17" s="7">
        <v>1.2999999999999999E-2</v>
      </c>
      <c r="C17" s="7">
        <v>0.01</v>
      </c>
      <c r="D17" s="9">
        <f t="shared" si="3"/>
        <v>0.16</v>
      </c>
      <c r="E17" s="3">
        <f t="shared" si="4"/>
        <v>1.3308104696728948</v>
      </c>
      <c r="F17" s="3">
        <f t="shared" si="5"/>
        <v>0.10110069368965235</v>
      </c>
      <c r="G17" s="3">
        <f t="shared" si="6"/>
        <v>0.99810785225467114</v>
      </c>
      <c r="H17" s="3">
        <f t="shared" si="7"/>
        <v>0.16899034475383512</v>
      </c>
      <c r="I17" s="10">
        <f t="shared" si="8"/>
        <v>0.10666666666666667</v>
      </c>
      <c r="J17" s="11">
        <f t="shared" si="1"/>
        <v>2.3906279878818982E-2</v>
      </c>
    </row>
    <row r="18" spans="1:10" x14ac:dyDescent="0.25">
      <c r="A18" s="7">
        <f t="shared" si="2"/>
        <v>1.5</v>
      </c>
      <c r="B18" s="7">
        <v>1.2999999999999999E-2</v>
      </c>
      <c r="C18" s="7">
        <v>0.01</v>
      </c>
      <c r="D18" s="9">
        <f t="shared" si="3"/>
        <v>0.17</v>
      </c>
      <c r="E18" s="3">
        <f t="shared" si="4"/>
        <v>1.3734285526991801</v>
      </c>
      <c r="F18" s="3">
        <f t="shared" si="5"/>
        <v>0.11048693291776963</v>
      </c>
      <c r="G18" s="3">
        <f t="shared" si="6"/>
        <v>1.030071414524385</v>
      </c>
      <c r="H18" s="3">
        <f t="shared" si="7"/>
        <v>0.19186538110429574</v>
      </c>
      <c r="I18" s="10">
        <f t="shared" si="8"/>
        <v>0.11333333333333334</v>
      </c>
      <c r="J18" s="11">
        <f t="shared" si="1"/>
        <v>2.714230512055019E-2</v>
      </c>
    </row>
    <row r="19" spans="1:10" x14ac:dyDescent="0.25">
      <c r="A19" s="7">
        <f t="shared" si="2"/>
        <v>1.5</v>
      </c>
      <c r="B19" s="7">
        <v>1.2999999999999999E-2</v>
      </c>
      <c r="C19" s="7">
        <v>0.01</v>
      </c>
      <c r="D19" s="9">
        <f t="shared" si="3"/>
        <v>0.18000000000000002</v>
      </c>
      <c r="E19" s="3">
        <f t="shared" si="4"/>
        <v>1.4149664235586858</v>
      </c>
      <c r="F19" s="3">
        <f t="shared" si="5"/>
        <v>0.12011719318733055</v>
      </c>
      <c r="G19" s="3">
        <f t="shared" si="6"/>
        <v>1.0612248176690144</v>
      </c>
      <c r="H19" s="3">
        <f t="shared" si="7"/>
        <v>0.2162023157781876</v>
      </c>
      <c r="I19" s="10">
        <f t="shared" si="8"/>
        <v>0.12000000000000001</v>
      </c>
      <c r="J19" s="11">
        <f t="shared" si="1"/>
        <v>3.0585138334211583E-2</v>
      </c>
    </row>
    <row r="20" spans="1:10" x14ac:dyDescent="0.25">
      <c r="A20" s="7">
        <f t="shared" si="2"/>
        <v>1.5</v>
      </c>
      <c r="B20" s="7">
        <v>1.2999999999999999E-2</v>
      </c>
      <c r="C20" s="7">
        <v>0.01</v>
      </c>
      <c r="D20" s="9">
        <f t="shared" si="3"/>
        <v>0.19000000000000003</v>
      </c>
      <c r="E20" s="3">
        <f t="shared" si="4"/>
        <v>1.4555189564579263</v>
      </c>
      <c r="F20" s="3">
        <f t="shared" si="5"/>
        <v>0.12998138559862393</v>
      </c>
      <c r="G20" s="3">
        <f t="shared" si="6"/>
        <v>1.0916392173434448</v>
      </c>
      <c r="H20" s="3">
        <f t="shared" si="7"/>
        <v>0.24199468737403873</v>
      </c>
      <c r="I20" s="10">
        <f t="shared" si="8"/>
        <v>0.12666666666666668</v>
      </c>
      <c r="J20" s="11">
        <f t="shared" si="1"/>
        <v>3.4233865455320818E-2</v>
      </c>
    </row>
    <row r="21" spans="1:10" x14ac:dyDescent="0.25">
      <c r="A21" s="7">
        <f t="shared" si="2"/>
        <v>1.5</v>
      </c>
      <c r="B21" s="7">
        <v>1.2999999999999999E-2</v>
      </c>
      <c r="C21" s="7">
        <v>0.01</v>
      </c>
      <c r="D21" s="9">
        <f t="shared" si="3"/>
        <v>0.20000000000000004</v>
      </c>
      <c r="E21" s="3">
        <f t="shared" si="4"/>
        <v>1.4951686993380418</v>
      </c>
      <c r="F21" s="3">
        <f t="shared" si="5"/>
        <v>0.14007012344122108</v>
      </c>
      <c r="G21" s="3">
        <f t="shared" si="6"/>
        <v>1.1213765245035314</v>
      </c>
      <c r="H21" s="3">
        <f t="shared" si="7"/>
        <v>0.26923500618908019</v>
      </c>
      <c r="I21" s="10">
        <f t="shared" si="8"/>
        <v>0.13333333333333336</v>
      </c>
      <c r="J21" s="11">
        <f t="shared" si="1"/>
        <v>3.8087426950382863E-2</v>
      </c>
    </row>
    <row r="22" spans="1:10" x14ac:dyDescent="0.25">
      <c r="A22" s="7">
        <f t="shared" si="2"/>
        <v>1.5</v>
      </c>
      <c r="B22" s="7">
        <v>1.2999999999999999E-2</v>
      </c>
      <c r="C22" s="7">
        <v>0.01</v>
      </c>
      <c r="D22" s="9">
        <f t="shared" si="3"/>
        <v>0.21000000000000005</v>
      </c>
      <c r="E22" s="3">
        <f t="shared" si="4"/>
        <v>1.5339880157237331</v>
      </c>
      <c r="F22" s="3">
        <f t="shared" si="5"/>
        <v>0.15037463394136091</v>
      </c>
      <c r="G22" s="3">
        <f t="shared" si="6"/>
        <v>1.1504910117927998</v>
      </c>
      <c r="H22" s="3">
        <f t="shared" si="7"/>
        <v>0.29791483701453308</v>
      </c>
      <c r="I22" s="10">
        <f t="shared" si="8"/>
        <v>0.14000000000000004</v>
      </c>
      <c r="J22" s="11">
        <f t="shared" si="1"/>
        <v>4.2144629529555055E-2</v>
      </c>
    </row>
    <row r="23" spans="1:10" x14ac:dyDescent="0.25">
      <c r="A23" s="7">
        <f t="shared" si="2"/>
        <v>1.5</v>
      </c>
      <c r="B23" s="7">
        <v>1.2999999999999999E-2</v>
      </c>
      <c r="C23" s="7">
        <v>0.01</v>
      </c>
      <c r="D23" s="9">
        <f t="shared" si="3"/>
        <v>0.22000000000000006</v>
      </c>
      <c r="E23" s="3">
        <f t="shared" si="4"/>
        <v>1.5720407715605413</v>
      </c>
      <c r="F23" s="3">
        <f t="shared" si="5"/>
        <v>0.16088668477926435</v>
      </c>
      <c r="G23" s="3">
        <f t="shared" si="6"/>
        <v>1.1790305786704061</v>
      </c>
      <c r="H23" s="3">
        <f t="shared" si="7"/>
        <v>0.32802487072360798</v>
      </c>
      <c r="I23" s="10">
        <f t="shared" si="8"/>
        <v>0.1466666666666667</v>
      </c>
      <c r="J23" s="11">
        <f t="shared" si="1"/>
        <v>4.6404156273869138E-2</v>
      </c>
    </row>
    <row r="24" spans="1:10" x14ac:dyDescent="0.25">
      <c r="A24" s="7">
        <f t="shared" si="2"/>
        <v>1.5</v>
      </c>
      <c r="B24" s="7">
        <v>1.2999999999999999E-2</v>
      </c>
      <c r="C24" s="7">
        <v>0.01</v>
      </c>
      <c r="D24" s="9">
        <f t="shared" si="3"/>
        <v>0.23000000000000007</v>
      </c>
      <c r="E24" s="3">
        <f t="shared" si="4"/>
        <v>1.6093836798504744</v>
      </c>
      <c r="F24" s="3">
        <f t="shared" si="5"/>
        <v>0.17159852232701539</v>
      </c>
      <c r="G24" s="3">
        <f t="shared" si="6"/>
        <v>1.2070377598878559</v>
      </c>
      <c r="H24" s="3">
        <f t="shared" si="7"/>
        <v>0.35955498662113561</v>
      </c>
      <c r="I24" s="10">
        <f t="shared" si="8"/>
        <v>0.15333333333333338</v>
      </c>
      <c r="J24" s="11">
        <f t="shared" si="1"/>
        <v>5.0864575455544243E-2</v>
      </c>
    </row>
    <row r="25" spans="1:10" x14ac:dyDescent="0.25">
      <c r="A25" s="7">
        <f t="shared" si="2"/>
        <v>1.5</v>
      </c>
      <c r="B25" s="7">
        <v>1.2999999999999999E-2</v>
      </c>
      <c r="C25" s="7">
        <v>0.01</v>
      </c>
      <c r="D25" s="9">
        <f t="shared" si="3"/>
        <v>0.24000000000000007</v>
      </c>
      <c r="E25" s="3">
        <f t="shared" si="4"/>
        <v>1.6460673842699522</v>
      </c>
      <c r="F25" s="3">
        <f t="shared" si="5"/>
        <v>0.18250281929462669</v>
      </c>
      <c r="G25" s="3">
        <f t="shared" si="6"/>
        <v>1.2345505382024642</v>
      </c>
      <c r="H25" s="3">
        <f t="shared" si="7"/>
        <v>0.39249430710239763</v>
      </c>
      <c r="I25" s="10">
        <f t="shared" si="8"/>
        <v>0.16000000000000006</v>
      </c>
      <c r="J25" s="11">
        <f t="shared" si="1"/>
        <v>5.5524348270317991E-2</v>
      </c>
    </row>
    <row r="26" spans="1:10" x14ac:dyDescent="0.25">
      <c r="A26" s="7">
        <f t="shared" si="2"/>
        <v>1.5</v>
      </c>
      <c r="B26" s="7">
        <v>1.2999999999999999E-2</v>
      </c>
      <c r="C26" s="7">
        <v>0.01</v>
      </c>
      <c r="D26" s="9">
        <f t="shared" si="3"/>
        <v>0.25000000000000006</v>
      </c>
      <c r="E26" s="3">
        <f t="shared" si="4"/>
        <v>1.6821373411358609</v>
      </c>
      <c r="F26" s="3">
        <f t="shared" si="5"/>
        <v>0.19359263000698718</v>
      </c>
      <c r="G26" s="3">
        <f t="shared" si="6"/>
        <v>1.2616030058518957</v>
      </c>
      <c r="H26" s="3">
        <f t="shared" si="7"/>
        <v>0.42683124585189458</v>
      </c>
      <c r="I26" s="10">
        <f t="shared" si="8"/>
        <v>0.16666666666666671</v>
      </c>
      <c r="J26" s="11">
        <f t="shared" si="1"/>
        <v>6.0381835655902542E-2</v>
      </c>
    </row>
    <row r="27" spans="1:10" x14ac:dyDescent="0.25">
      <c r="A27" s="7">
        <f t="shared" si="2"/>
        <v>1.5</v>
      </c>
      <c r="B27" s="7">
        <v>1.2999999999999999E-2</v>
      </c>
      <c r="C27" s="7">
        <v>0.01</v>
      </c>
      <c r="D27" s="9">
        <f t="shared" si="3"/>
        <v>0.26000000000000006</v>
      </c>
      <c r="E27" s="3">
        <f t="shared" si="4"/>
        <v>1.7176345437646587</v>
      </c>
      <c r="F27" s="3">
        <f t="shared" si="5"/>
        <v>0.20486135192887381</v>
      </c>
      <c r="G27" s="3">
        <f t="shared" si="6"/>
        <v>1.2882259078234941</v>
      </c>
      <c r="H27" s="3">
        <f t="shared" si="7"/>
        <v>0.46255355057132719</v>
      </c>
      <c r="I27" s="10">
        <f t="shared" si="8"/>
        <v>0.17333333333333337</v>
      </c>
      <c r="J27" s="11">
        <f t="shared" si="1"/>
        <v>6.5435304336513844E-2</v>
      </c>
    </row>
    <row r="28" spans="1:10" x14ac:dyDescent="0.25">
      <c r="A28" s="7">
        <f t="shared" si="2"/>
        <v>1.5</v>
      </c>
      <c r="B28" s="7">
        <v>1.2999999999999999E-2</v>
      </c>
      <c r="C28" s="7">
        <v>0.01</v>
      </c>
      <c r="D28" s="9">
        <f t="shared" si="3"/>
        <v>0.27000000000000007</v>
      </c>
      <c r="E28" s="3">
        <f t="shared" si="4"/>
        <v>1.7525961223366815</v>
      </c>
      <c r="F28" s="3">
        <f t="shared" si="5"/>
        <v>0.21630269235009261</v>
      </c>
      <c r="G28" s="3">
        <f t="shared" si="6"/>
        <v>1.3144470917525111</v>
      </c>
      <c r="H28" s="3">
        <f t="shared" si="7"/>
        <v>0.49964834103968947</v>
      </c>
      <c r="I28" s="10">
        <f t="shared" si="8"/>
        <v>0.18000000000000005</v>
      </c>
      <c r="J28" s="11">
        <f t="shared" si="1"/>
        <v>7.0682932207056376E-2</v>
      </c>
    </row>
    <row r="29" spans="1:10" x14ac:dyDescent="0.25">
      <c r="A29" s="7">
        <f t="shared" si="2"/>
        <v>1.5</v>
      </c>
      <c r="B29" s="7">
        <v>1.2999999999999999E-2</v>
      </c>
      <c r="C29" s="7">
        <v>0.01</v>
      </c>
      <c r="D29" s="9">
        <f t="shared" si="3"/>
        <v>0.28000000000000008</v>
      </c>
      <c r="E29" s="3">
        <f t="shared" si="4"/>
        <v>1.7870558444610036</v>
      </c>
      <c r="F29" s="3">
        <f t="shared" si="5"/>
        <v>0.2279106393660511</v>
      </c>
      <c r="G29" s="3">
        <f t="shared" si="6"/>
        <v>1.3402918833457527</v>
      </c>
      <c r="H29" s="3">
        <f t="shared" si="7"/>
        <v>0.53810214316289973</v>
      </c>
      <c r="I29" s="10">
        <f t="shared" si="8"/>
        <v>0.18666666666666673</v>
      </c>
      <c r="J29" s="11">
        <f t="shared" si="1"/>
        <v>7.6122813149966426E-2</v>
      </c>
    </row>
    <row r="30" spans="1:10" x14ac:dyDescent="0.25">
      <c r="A30" s="7">
        <f t="shared" si="2"/>
        <v>1.5</v>
      </c>
      <c r="B30" s="7">
        <v>1.2999999999999999E-2</v>
      </c>
      <c r="C30" s="7">
        <v>0.01</v>
      </c>
      <c r="D30" s="9">
        <f t="shared" si="3"/>
        <v>0.29000000000000009</v>
      </c>
      <c r="E30" s="3">
        <f t="shared" si="4"/>
        <v>1.8210445358259704</v>
      </c>
      <c r="F30" s="3">
        <f t="shared" si="5"/>
        <v>0.23967943646004825</v>
      </c>
      <c r="G30" s="3">
        <f t="shared" si="6"/>
        <v>1.3657834018694777</v>
      </c>
      <c r="H30" s="3">
        <f t="shared" si="7"/>
        <v>0.57790091955568224</v>
      </c>
      <c r="I30" s="10">
        <f t="shared" si="8"/>
        <v>0.19333333333333338</v>
      </c>
      <c r="J30" s="11">
        <f t="shared" si="1"/>
        <v>8.1752961361489032E-2</v>
      </c>
    </row>
    <row r="31" spans="1:10" x14ac:dyDescent="0.25">
      <c r="A31" s="7">
        <f t="shared" si="2"/>
        <v>1.5</v>
      </c>
      <c r="B31" s="7">
        <v>1.2999999999999999E-2</v>
      </c>
      <c r="C31" s="7">
        <v>0.01</v>
      </c>
      <c r="D31" s="9">
        <f t="shared" si="3"/>
        <v>0.3000000000000001</v>
      </c>
      <c r="E31" s="3">
        <f t="shared" si="4"/>
        <v>1.8545904360032246</v>
      </c>
      <c r="F31" s="3">
        <f t="shared" si="5"/>
        <v>0.2516035601259069</v>
      </c>
      <c r="G31" s="3">
        <f t="shared" si="6"/>
        <v>1.3909428270024184</v>
      </c>
      <c r="H31" s="3">
        <f t="shared" si="7"/>
        <v>0.61903009710702606</v>
      </c>
      <c r="I31" s="10">
        <f t="shared" si="8"/>
        <v>0.20000000000000007</v>
      </c>
      <c r="J31" s="11">
        <f t="shared" si="1"/>
        <v>8.7571315251235446E-2</v>
      </c>
    </row>
    <row r="32" spans="1:10" x14ac:dyDescent="0.25">
      <c r="A32" s="7">
        <f t="shared" si="2"/>
        <v>1.5</v>
      </c>
      <c r="B32" s="7">
        <v>1.2999999999999999E-2</v>
      </c>
      <c r="C32" s="7">
        <v>0.01</v>
      </c>
      <c r="D32" s="9">
        <f t="shared" si="3"/>
        <v>0.31000000000000011</v>
      </c>
      <c r="E32" s="3">
        <f t="shared" si="4"/>
        <v>1.8877195012284342</v>
      </c>
      <c r="F32" s="3">
        <f t="shared" si="5"/>
        <v>0.26367770007303737</v>
      </c>
      <c r="G32" s="3">
        <f t="shared" si="6"/>
        <v>1.4157896259213256</v>
      </c>
      <c r="H32" s="3">
        <f t="shared" si="7"/>
        <v>0.66147459190714941</v>
      </c>
      <c r="I32" s="10">
        <f t="shared" si="8"/>
        <v>0.20666666666666675</v>
      </c>
      <c r="J32" s="11">
        <f t="shared" si="1"/>
        <v>9.3575740968485172E-2</v>
      </c>
    </row>
    <row r="33" spans="1:10" x14ac:dyDescent="0.25">
      <c r="A33" s="7">
        <f t="shared" si="2"/>
        <v>1.5</v>
      </c>
      <c r="B33" s="7">
        <v>1.2999999999999999E-2</v>
      </c>
      <c r="C33" s="7">
        <v>0.01</v>
      </c>
      <c r="D33" s="9">
        <f t="shared" si="3"/>
        <v>0.32000000000000012</v>
      </c>
      <c r="E33" s="3">
        <f t="shared" si="4"/>
        <v>1.9204556635175951</v>
      </c>
      <c r="F33" s="3">
        <f t="shared" si="5"/>
        <v>0.27589674163764355</v>
      </c>
      <c r="G33" s="3">
        <f t="shared" si="6"/>
        <v>1.4403417476381963</v>
      </c>
      <c r="H33" s="3">
        <f t="shared" si="7"/>
        <v>0.7052188318544601</v>
      </c>
      <c r="I33" s="10">
        <f t="shared" si="8"/>
        <v>0.2133333333333334</v>
      </c>
      <c r="J33" s="11">
        <f t="shared" si="1"/>
        <v>9.9764035600287737E-2</v>
      </c>
    </row>
    <row r="34" spans="1:10" x14ac:dyDescent="0.25">
      <c r="A34" s="7">
        <f t="shared" si="2"/>
        <v>1.5</v>
      </c>
      <c r="B34" s="7">
        <v>1.2999999999999999E-2</v>
      </c>
      <c r="C34" s="7">
        <v>0.01</v>
      </c>
      <c r="D34" s="9">
        <f t="shared" si="3"/>
        <v>0.33000000000000013</v>
      </c>
      <c r="E34" s="3">
        <f t="shared" si="4"/>
        <v>1.9528210535876691</v>
      </c>
      <c r="F34" s="3">
        <f t="shared" si="5"/>
        <v>0.28825575008871146</v>
      </c>
      <c r="G34" s="3">
        <f t="shared" si="6"/>
        <v>1.4646157901907517</v>
      </c>
      <c r="H34" s="3">
        <f t="shared" si="7"/>
        <v>0.75024677721245814</v>
      </c>
      <c r="I34" s="10">
        <f t="shared" si="8"/>
        <v>0.22000000000000008</v>
      </c>
      <c r="J34" s="11">
        <f t="shared" si="1"/>
        <v>0.1061339300795523</v>
      </c>
    </row>
    <row r="35" spans="1:10" x14ac:dyDescent="0.25">
      <c r="A35" s="7">
        <f t="shared" si="2"/>
        <v>1.5</v>
      </c>
      <c r="B35" s="7">
        <v>1.2999999999999999E-2</v>
      </c>
      <c r="C35" s="7">
        <v>0.01</v>
      </c>
      <c r="D35" s="9">
        <f t="shared" si="3"/>
        <v>0.34000000000000014</v>
      </c>
      <c r="E35" s="3">
        <f t="shared" si="4"/>
        <v>1.9848361935873859</v>
      </c>
      <c r="F35" s="3">
        <f t="shared" si="5"/>
        <v>0.30074995656948805</v>
      </c>
      <c r="G35" s="3">
        <f t="shared" si="6"/>
        <v>1.4886271451905395</v>
      </c>
      <c r="H35" s="3">
        <f t="shared" si="7"/>
        <v>0.79654193934662676</v>
      </c>
      <c r="I35" s="10">
        <f t="shared" si="8"/>
        <v>0.22666666666666677</v>
      </c>
      <c r="J35" s="11">
        <f t="shared" si="1"/>
        <v>0.11268309183566867</v>
      </c>
    </row>
    <row r="36" spans="1:10" x14ac:dyDescent="0.25">
      <c r="A36" s="7">
        <f t="shared" si="2"/>
        <v>1.5</v>
      </c>
      <c r="B36" s="7">
        <v>1.2999999999999999E-2</v>
      </c>
      <c r="C36" s="7">
        <v>0.01</v>
      </c>
      <c r="D36" s="9">
        <f t="shared" si="3"/>
        <v>0.35000000000000014</v>
      </c>
      <c r="E36" s="3">
        <f t="shared" si="4"/>
        <v>2.016520164502082</v>
      </c>
      <c r="F36" s="3">
        <f t="shared" si="5"/>
        <v>0.31337474545722016</v>
      </c>
      <c r="G36" s="3">
        <f t="shared" si="6"/>
        <v>1.5123901233765615</v>
      </c>
      <c r="H36" s="3">
        <f t="shared" si="7"/>
        <v>0.84408739783836695</v>
      </c>
      <c r="I36" s="10">
        <f t="shared" si="8"/>
        <v>0.23333333333333342</v>
      </c>
      <c r="J36" s="11">
        <f t="shared" si="1"/>
        <v>0.11940912721553623</v>
      </c>
    </row>
    <row r="37" spans="1:10" x14ac:dyDescent="0.25">
      <c r="A37" s="7">
        <f t="shared" si="2"/>
        <v>1.5</v>
      </c>
      <c r="B37" s="7">
        <v>1.2999999999999999E-2</v>
      </c>
      <c r="C37" s="7">
        <v>0.01</v>
      </c>
      <c r="D37" s="9">
        <f t="shared" si="3"/>
        <v>0.36000000000000015</v>
      </c>
      <c r="E37" s="3">
        <f t="shared" si="4"/>
        <v>2.0478907521979055</v>
      </c>
      <c r="F37" s="3">
        <f t="shared" si="5"/>
        <v>0.32612564295812835</v>
      </c>
      <c r="G37" s="3">
        <f t="shared" si="6"/>
        <v>1.5359180641484291</v>
      </c>
      <c r="H37" s="3">
        <f t="shared" si="7"/>
        <v>0.8928658161455213</v>
      </c>
      <c r="I37" s="10">
        <f t="shared" si="8"/>
        <v>0.2400000000000001</v>
      </c>
      <c r="J37" s="11">
        <f t="shared" si="1"/>
        <v>0.12630958369898557</v>
      </c>
    </row>
    <row r="38" spans="1:10" x14ac:dyDescent="0.25">
      <c r="A38" s="7">
        <f t="shared" si="2"/>
        <v>1.5</v>
      </c>
      <c r="B38" s="7">
        <v>1.2999999999999999E-2</v>
      </c>
      <c r="C38" s="7">
        <v>0.01</v>
      </c>
      <c r="D38" s="9">
        <f t="shared" si="3"/>
        <v>0.37000000000000016</v>
      </c>
      <c r="E38" s="3">
        <f t="shared" si="4"/>
        <v>2.078964575358436</v>
      </c>
      <c r="F38" s="3">
        <f t="shared" si="5"/>
        <v>0.33899830678258658</v>
      </c>
      <c r="G38" s="3">
        <f t="shared" si="6"/>
        <v>1.5592234315188271</v>
      </c>
      <c r="H38" s="3">
        <f t="shared" si="7"/>
        <v>0.94285945595598109</v>
      </c>
      <c r="I38" s="10">
        <f t="shared" si="8"/>
        <v>0.24666666666666678</v>
      </c>
      <c r="J38" s="11">
        <f t="shared" si="1"/>
        <v>0.13338195192931662</v>
      </c>
    </row>
    <row r="39" spans="1:10" x14ac:dyDescent="0.25">
      <c r="A39" s="7">
        <f t="shared" si="2"/>
        <v>1.5</v>
      </c>
      <c r="B39" s="7">
        <v>1.2999999999999999E-2</v>
      </c>
      <c r="C39" s="7">
        <v>0.01</v>
      </c>
      <c r="D39" s="9">
        <f t="shared" si="3"/>
        <v>0.38000000000000017</v>
      </c>
      <c r="E39" s="3">
        <f t="shared" si="4"/>
        <v>2.1097571979981966</v>
      </c>
      <c r="F39" s="3">
        <f t="shared" si="5"/>
        <v>0.35198851676855153</v>
      </c>
      <c r="G39" s="3">
        <f t="shared" si="6"/>
        <v>1.5823178984986475</v>
      </c>
      <c r="H39" s="3">
        <f t="shared" si="7"/>
        <v>0.99405019036152942</v>
      </c>
      <c r="I39" s="10">
        <f t="shared" si="8"/>
        <v>0.25333333333333347</v>
      </c>
      <c r="J39" s="11">
        <f t="shared" si="1"/>
        <v>0.14062366757694125</v>
      </c>
    </row>
    <row r="40" spans="1:10" x14ac:dyDescent="0.25">
      <c r="A40" s="7">
        <f t="shared" si="2"/>
        <v>1.5</v>
      </c>
      <c r="B40" s="7">
        <v>1.2999999999999999E-2</v>
      </c>
      <c r="C40" s="7">
        <v>0.01</v>
      </c>
      <c r="D40" s="9">
        <f t="shared" si="3"/>
        <v>0.39000000000000018</v>
      </c>
      <c r="E40" s="3">
        <f t="shared" si="4"/>
        <v>2.1402832287806173</v>
      </c>
      <c r="F40" s="3">
        <f t="shared" si="5"/>
        <v>0.36509216634036656</v>
      </c>
      <c r="G40" s="3">
        <f t="shared" si="6"/>
        <v>1.6052124215854628</v>
      </c>
      <c r="H40" s="3">
        <f t="shared" si="7"/>
        <v>1.0464195159625547</v>
      </c>
      <c r="I40" s="10">
        <f t="shared" si="8"/>
        <v>0.26000000000000012</v>
      </c>
      <c r="J40" s="11">
        <f t="shared" si="1"/>
        <v>0.14803211305178071</v>
      </c>
    </row>
    <row r="41" spans="1:10" x14ac:dyDescent="0.25">
      <c r="A41" s="7">
        <f t="shared" si="2"/>
        <v>1.5</v>
      </c>
      <c r="B41" s="7">
        <v>1.2999999999999999E-2</v>
      </c>
      <c r="C41" s="7">
        <v>0.01</v>
      </c>
      <c r="D41" s="9">
        <f t="shared" si="3"/>
        <v>0.40000000000000019</v>
      </c>
      <c r="E41" s="3">
        <f t="shared" si="4"/>
        <v>2.1705564089986114</v>
      </c>
      <c r="F41" s="3">
        <f t="shared" si="5"/>
        <v>0.37830525470598153</v>
      </c>
      <c r="G41" s="3">
        <f t="shared" si="6"/>
        <v>1.6279173067489585</v>
      </c>
      <c r="H41" s="3">
        <f t="shared" si="7"/>
        <v>1.0999485640003508</v>
      </c>
      <c r="I41" s="10">
        <f t="shared" si="8"/>
        <v>0.26666666666666677</v>
      </c>
      <c r="J41" s="11">
        <f t="shared" si="1"/>
        <v>0.15560461907810064</v>
      </c>
    </row>
    <row r="42" spans="1:10" x14ac:dyDescent="0.25">
      <c r="A42" s="7">
        <f t="shared" si="2"/>
        <v>1.5</v>
      </c>
      <c r="B42" s="7">
        <v>1.2999999999999999E-2</v>
      </c>
      <c r="C42" s="7">
        <v>0.01</v>
      </c>
      <c r="D42" s="9">
        <f t="shared" si="3"/>
        <v>0.4100000000000002</v>
      </c>
      <c r="E42" s="3">
        <f t="shared" si="4"/>
        <v>2.2005896907754794</v>
      </c>
      <c r="F42" s="3">
        <f t="shared" si="5"/>
        <v>0.3916238797089312</v>
      </c>
      <c r="G42" s="3">
        <f t="shared" si="6"/>
        <v>1.6504422680816095</v>
      </c>
      <c r="H42" s="3">
        <f t="shared" si="7"/>
        <v>1.1546181106017213</v>
      </c>
      <c r="I42" s="10">
        <f t="shared" si="8"/>
        <v>0.27333333333333348</v>
      </c>
      <c r="J42" s="11">
        <f t="shared" si="1"/>
        <v>0.16333846614376762</v>
      </c>
    </row>
    <row r="43" spans="1:10" x14ac:dyDescent="0.25">
      <c r="A43" s="7">
        <f t="shared" si="2"/>
        <v>1.5</v>
      </c>
      <c r="B43" s="7">
        <v>1.2999999999999999E-2</v>
      </c>
      <c r="C43" s="7">
        <v>0.01</v>
      </c>
      <c r="D43" s="9">
        <f t="shared" si="3"/>
        <v>0.42000000000000021</v>
      </c>
      <c r="E43" s="3">
        <f t="shared" si="4"/>
        <v>2.230395306798147</v>
      </c>
      <c r="F43" s="3">
        <f t="shared" si="5"/>
        <v>0.4050442312626068</v>
      </c>
      <c r="G43" s="3">
        <f t="shared" si="6"/>
        <v>1.6727964800986102</v>
      </c>
      <c r="H43" s="3">
        <f t="shared" si="7"/>
        <v>1.2104085862103191</v>
      </c>
      <c r="I43" s="10">
        <f t="shared" si="8"/>
        <v>0.28000000000000014</v>
      </c>
      <c r="J43" s="11">
        <f t="shared" si="1"/>
        <v>0.17123088583445706</v>
      </c>
    </row>
    <row r="44" spans="1:10" x14ac:dyDescent="0.25">
      <c r="A44" s="7">
        <f t="shared" si="2"/>
        <v>1.5</v>
      </c>
      <c r="B44" s="7">
        <v>1.2999999999999999E-2</v>
      </c>
      <c r="C44" s="7">
        <v>0.01</v>
      </c>
      <c r="D44" s="9">
        <f t="shared" si="3"/>
        <v>0.43000000000000022</v>
      </c>
      <c r="E44" s="3">
        <f t="shared" si="4"/>
        <v>2.2599848326927505</v>
      </c>
      <c r="F44" s="3">
        <f t="shared" si="5"/>
        <v>0.41856258530380741</v>
      </c>
      <c r="G44" s="3">
        <f t="shared" si="6"/>
        <v>1.6949886245195629</v>
      </c>
      <c r="H44" s="3">
        <f t="shared" si="7"/>
        <v>1.2673000842702915</v>
      </c>
      <c r="I44" s="10">
        <f t="shared" si="8"/>
        <v>0.28666666666666679</v>
      </c>
      <c r="J44" s="11">
        <f t="shared" si="1"/>
        <v>0.17927906206208807</v>
      </c>
    </row>
    <row r="45" spans="1:10" x14ac:dyDescent="0.25">
      <c r="A45" s="7">
        <f t="shared" si="2"/>
        <v>1.5</v>
      </c>
      <c r="B45" s="7">
        <v>1.2999999999999999E-2</v>
      </c>
      <c r="C45" s="7">
        <v>0.01</v>
      </c>
      <c r="D45" s="9">
        <f t="shared" si="3"/>
        <v>0.44000000000000022</v>
      </c>
      <c r="E45" s="3">
        <f t="shared" si="4"/>
        <v>2.2893692429857007</v>
      </c>
      <c r="F45" s="3">
        <f t="shared" si="5"/>
        <v>0.43217529821057638</v>
      </c>
      <c r="G45" s="3">
        <f t="shared" si="6"/>
        <v>1.7170269322392755</v>
      </c>
      <c r="H45" s="3">
        <f t="shared" si="7"/>
        <v>1.3252723692200867</v>
      </c>
      <c r="I45" s="10">
        <f t="shared" si="8"/>
        <v>0.2933333333333335</v>
      </c>
      <c r="J45" s="11">
        <f t="shared" si="1"/>
        <v>0.18748013219567036</v>
      </c>
    </row>
    <row r="46" spans="1:10" x14ac:dyDescent="0.25">
      <c r="A46" s="7">
        <f t="shared" si="2"/>
        <v>1.5</v>
      </c>
      <c r="B46" s="7">
        <v>1.2999999999999999E-2</v>
      </c>
      <c r="C46" s="7">
        <v>0.01</v>
      </c>
      <c r="D46" s="9">
        <f t="shared" si="3"/>
        <v>0.45000000000000023</v>
      </c>
      <c r="E46" s="3">
        <f t="shared" si="4"/>
        <v>2.3185589614548179</v>
      </c>
      <c r="F46" s="3">
        <f t="shared" si="5"/>
        <v>0.44587880163615484</v>
      </c>
      <c r="G46" s="3">
        <f t="shared" si="6"/>
        <v>1.7389192210911135</v>
      </c>
      <c r="H46" s="3">
        <f t="shared" si="7"/>
        <v>1.3843048838475747</v>
      </c>
      <c r="I46" s="10">
        <f t="shared" si="8"/>
        <v>0.30000000000000016</v>
      </c>
      <c r="J46" s="11">
        <f t="shared" si="1"/>
        <v>0.19583118810179884</v>
      </c>
    </row>
    <row r="47" spans="1:10" x14ac:dyDescent="0.25">
      <c r="A47" s="7">
        <f t="shared" si="2"/>
        <v>1.5</v>
      </c>
      <c r="B47" s="7">
        <v>1.2999999999999999E-2</v>
      </c>
      <c r="C47" s="7">
        <v>0.01</v>
      </c>
      <c r="D47" s="9">
        <f t="shared" si="3"/>
        <v>0.46000000000000024</v>
      </c>
      <c r="E47" s="3">
        <f t="shared" si="4"/>
        <v>2.3475639065596301</v>
      </c>
      <c r="F47" s="3">
        <f t="shared" si="5"/>
        <v>0.45966959771672528</v>
      </c>
      <c r="G47" s="3">
        <f t="shared" si="6"/>
        <v>1.7606729299197226</v>
      </c>
      <c r="H47" s="3">
        <f t="shared" si="7"/>
        <v>1.4443767560517762</v>
      </c>
      <c r="I47" s="10">
        <f t="shared" si="8"/>
        <v>0.30666666666666681</v>
      </c>
      <c r="J47" s="11">
        <f t="shared" si="1"/>
        <v>0.20432927710120422</v>
      </c>
    </row>
    <row r="48" spans="1:10" x14ac:dyDescent="0.25">
      <c r="A48" s="7">
        <f t="shared" si="2"/>
        <v>1.5</v>
      </c>
      <c r="B48" s="7">
        <v>1.2999999999999999E-2</v>
      </c>
      <c r="C48" s="7">
        <v>0.01</v>
      </c>
      <c r="D48" s="9">
        <f t="shared" si="3"/>
        <v>0.47000000000000025</v>
      </c>
      <c r="E48" s="3">
        <f t="shared" si="4"/>
        <v>2.3763935325431991</v>
      </c>
      <c r="F48" s="3">
        <f t="shared" si="5"/>
        <v>0.47354425461562655</v>
      </c>
      <c r="G48" s="3">
        <f t="shared" si="6"/>
        <v>1.7822951494073993</v>
      </c>
      <c r="H48" s="3">
        <f t="shared" si="7"/>
        <v>1.5054668050513447</v>
      </c>
      <c r="I48" s="10">
        <f t="shared" si="8"/>
        <v>0.31333333333333352</v>
      </c>
      <c r="J48" s="11">
        <f t="shared" si="1"/>
        <v>0.21297140284703803</v>
      </c>
    </row>
    <row r="49" spans="1:10" x14ac:dyDescent="0.25">
      <c r="A49" s="7">
        <f t="shared" si="2"/>
        <v>1.5</v>
      </c>
      <c r="B49" s="7">
        <v>1.2999999999999999E-2</v>
      </c>
      <c r="C49" s="7">
        <v>0.01</v>
      </c>
      <c r="D49" s="9">
        <f t="shared" si="3"/>
        <v>0.48000000000000026</v>
      </c>
      <c r="E49" s="3">
        <f t="shared" si="4"/>
        <v>2.4050568667165138</v>
      </c>
      <c r="F49" s="3">
        <f t="shared" si="5"/>
        <v>0.48749940237103184</v>
      </c>
      <c r="G49" s="3">
        <f t="shared" si="6"/>
        <v>1.8037926500373853</v>
      </c>
      <c r="H49" s="3">
        <f t="shared" si="7"/>
        <v>1.5675535470753674</v>
      </c>
      <c r="I49" s="10">
        <f t="shared" si="8"/>
        <v>0.32000000000000017</v>
      </c>
      <c r="J49" s="11">
        <f t="shared" si="1"/>
        <v>0.22175452612992388</v>
      </c>
    </row>
    <row r="50" spans="1:10" x14ac:dyDescent="0.25">
      <c r="A50" s="7">
        <f t="shared" si="2"/>
        <v>1.5</v>
      </c>
      <c r="B50" s="7">
        <v>1.2999999999999999E-2</v>
      </c>
      <c r="C50" s="7">
        <v>0.01</v>
      </c>
      <c r="D50" s="9">
        <f t="shared" si="3"/>
        <v>0.49000000000000027</v>
      </c>
      <c r="E50" s="3">
        <f t="shared" si="4"/>
        <v>2.4335625433678767</v>
      </c>
      <c r="F50" s="3">
        <f t="shared" si="5"/>
        <v>0.50153172901781518</v>
      </c>
      <c r="G50" s="3">
        <f t="shared" si="6"/>
        <v>1.8251719075259074</v>
      </c>
      <c r="H50" s="3">
        <f t="shared" si="7"/>
        <v>1.6306152005680952</v>
      </c>
      <c r="I50" s="10">
        <f t="shared" si="8"/>
        <v>0.32666666666666683</v>
      </c>
      <c r="J50" s="11">
        <f t="shared" si="1"/>
        <v>0.23067556561424649</v>
      </c>
    </row>
    <row r="51" spans="1:10" x14ac:dyDescent="0.25">
      <c r="A51" s="7">
        <f t="shared" si="2"/>
        <v>1.5</v>
      </c>
      <c r="B51" s="7">
        <v>1.2999999999999999E-2</v>
      </c>
      <c r="C51" s="7">
        <v>0.01</v>
      </c>
      <c r="D51" s="9">
        <f t="shared" si="3"/>
        <v>0.50000000000000022</v>
      </c>
      <c r="E51" s="3">
        <f t="shared" si="4"/>
        <v>2.4619188346815499</v>
      </c>
      <c r="F51" s="3">
        <f t="shared" si="5"/>
        <v>0.5156379769575492</v>
      </c>
      <c r="G51" s="3">
        <f t="shared" si="6"/>
        <v>1.8464391260111626</v>
      </c>
      <c r="H51" s="3">
        <f t="shared" si="7"/>
        <v>1.6946296909355347</v>
      </c>
      <c r="I51" s="10">
        <f t="shared" si="8"/>
        <v>0.33333333333333348</v>
      </c>
      <c r="J51" s="11">
        <f t="shared" si="1"/>
        <v>0.23973139850962996</v>
      </c>
    </row>
    <row r="52" spans="1:10" x14ac:dyDescent="0.25">
      <c r="A52" s="7">
        <f t="shared" si="2"/>
        <v>1.5</v>
      </c>
      <c r="B52" s="7">
        <v>1.2999999999999999E-2</v>
      </c>
      <c r="C52" s="7">
        <v>0.01</v>
      </c>
      <c r="D52" s="9">
        <f t="shared" si="3"/>
        <v>0.51000000000000023</v>
      </c>
      <c r="E52" s="3">
        <f t="shared" si="4"/>
        <v>2.4901336790005333</v>
      </c>
      <c r="F52" s="3">
        <f t="shared" si="5"/>
        <v>0.5298149395533911</v>
      </c>
      <c r="G52" s="3">
        <f t="shared" si="6"/>
        <v>1.8676002592504</v>
      </c>
      <c r="H52" s="3">
        <f t="shared" si="7"/>
        <v>1.7595746548587163</v>
      </c>
      <c r="I52" s="10">
        <f t="shared" si="8"/>
        <v>0.34000000000000014</v>
      </c>
      <c r="J52" s="11">
        <f t="shared" si="1"/>
        <v>0.24891886118111578</v>
      </c>
    </row>
    <row r="53" spans="1:10" x14ac:dyDescent="0.25">
      <c r="A53" s="7">
        <f t="shared" si="2"/>
        <v>1.5</v>
      </c>
      <c r="B53" s="7">
        <v>1.2999999999999999E-2</v>
      </c>
      <c r="C53" s="7">
        <v>0.01</v>
      </c>
      <c r="D53" s="9">
        <f t="shared" si="3"/>
        <v>0.52000000000000024</v>
      </c>
      <c r="E53" s="3">
        <f t="shared" si="4"/>
        <v>2.5182147067261971</v>
      </c>
      <c r="F53" s="3">
        <f t="shared" si="5"/>
        <v>0.5440594579290553</v>
      </c>
      <c r="G53" s="3">
        <f t="shared" si="6"/>
        <v>1.8886610300446478</v>
      </c>
      <c r="H53" s="3">
        <f t="shared" si="7"/>
        <v>1.8254274441955296</v>
      </c>
      <c r="I53" s="10">
        <f t="shared" si="8"/>
        <v>0.34666666666666685</v>
      </c>
      <c r="J53" s="11">
        <f t="shared" si="1"/>
        <v>0.25823474970113752</v>
      </c>
    </row>
    <row r="54" spans="1:10" x14ac:dyDescent="0.25">
      <c r="A54" s="7">
        <f t="shared" si="2"/>
        <v>1.5</v>
      </c>
      <c r="B54" s="7">
        <v>1.2999999999999999E-2</v>
      </c>
      <c r="C54" s="7">
        <v>0.01</v>
      </c>
      <c r="D54" s="9">
        <f t="shared" si="3"/>
        <v>0.53000000000000025</v>
      </c>
      <c r="E54" s="3">
        <f t="shared" si="4"/>
        <v>2.546169264111442</v>
      </c>
      <c r="F54" s="3">
        <f t="shared" si="5"/>
        <v>0.55836841795320169</v>
      </c>
      <c r="G54" s="3">
        <f t="shared" si="6"/>
        <v>1.9096269480835815</v>
      </c>
      <c r="H54" s="3">
        <f t="shared" si="7"/>
        <v>1.8921651294904109</v>
      </c>
      <c r="I54" s="10">
        <f t="shared" si="8"/>
        <v>0.3533333333333335</v>
      </c>
      <c r="J54" s="11">
        <f t="shared" si="1"/>
        <v>0.26767582034601983</v>
      </c>
    </row>
    <row r="55" spans="1:10" x14ac:dyDescent="0.25">
      <c r="A55" s="7">
        <f t="shared" si="2"/>
        <v>1.5</v>
      </c>
      <c r="B55" s="7">
        <v>1.2999999999999999E-2</v>
      </c>
      <c r="C55" s="7">
        <v>0.01</v>
      </c>
      <c r="D55" s="9">
        <f t="shared" si="3"/>
        <v>0.54000000000000026</v>
      </c>
      <c r="E55" s="3">
        <f t="shared" si="4"/>
        <v>2.5740044351731379</v>
      </c>
      <c r="F55" s="3">
        <f t="shared" si="5"/>
        <v>0.57273874739244524</v>
      </c>
      <c r="G55" s="3">
        <f t="shared" si="6"/>
        <v>1.9305033263798534</v>
      </c>
      <c r="H55" s="3">
        <f t="shared" si="7"/>
        <v>1.9597645031088593</v>
      </c>
      <c r="I55" s="10">
        <f t="shared" si="8"/>
        <v>0.36000000000000015</v>
      </c>
      <c r="J55" s="11">
        <f t="shared" si="1"/>
        <v>0.27723879003940405</v>
      </c>
    </row>
    <row r="56" spans="1:10" x14ac:dyDescent="0.25">
      <c r="A56" s="7">
        <f t="shared" si="2"/>
        <v>1.5</v>
      </c>
      <c r="B56" s="7">
        <v>1.2999999999999999E-2</v>
      </c>
      <c r="C56" s="7">
        <v>0.01</v>
      </c>
      <c r="D56" s="9">
        <f t="shared" si="3"/>
        <v>0.55000000000000027</v>
      </c>
      <c r="E56" s="3">
        <f t="shared" si="4"/>
        <v>2.6017270619229871</v>
      </c>
      <c r="F56" s="3">
        <f t="shared" si="5"/>
        <v>0.58716741321783061</v>
      </c>
      <c r="G56" s="3">
        <f t="shared" si="6"/>
        <v>1.9512952964422403</v>
      </c>
      <c r="H56" s="3">
        <f t="shared" si="7"/>
        <v>2.0282020820115538</v>
      </c>
      <c r="I56" s="10">
        <f t="shared" si="8"/>
        <v>0.36666666666666686</v>
      </c>
      <c r="J56" s="11">
        <f t="shared" si="1"/>
        <v>0.28692033674468964</v>
      </c>
    </row>
    <row r="57" spans="1:10" x14ac:dyDescent="0.25">
      <c r="A57" s="7">
        <f t="shared" si="2"/>
        <v>1.5</v>
      </c>
      <c r="B57" s="7">
        <v>1.2999999999999999E-2</v>
      </c>
      <c r="C57" s="7">
        <v>0.01</v>
      </c>
      <c r="D57" s="9">
        <f t="shared" si="3"/>
        <v>0.56000000000000028</v>
      </c>
      <c r="E57" s="3">
        <f t="shared" si="4"/>
        <v>2.6293437630929875</v>
      </c>
      <c r="F57" s="3">
        <f t="shared" si="5"/>
        <v>0.60165141905105324</v>
      </c>
      <c r="G57" s="3">
        <f t="shared" si="6"/>
        <v>1.9720078223197406</v>
      </c>
      <c r="H57" s="3">
        <f t="shared" si="7"/>
        <v>2.0974541101809092</v>
      </c>
      <c r="I57" s="10">
        <f t="shared" si="8"/>
        <v>0.37333333333333352</v>
      </c>
      <c r="J57" s="11">
        <f t="shared" si="1"/>
        <v>0.29671709980830779</v>
      </c>
    </row>
    <row r="58" spans="1:10" x14ac:dyDescent="0.25">
      <c r="A58" s="7">
        <f t="shared" si="2"/>
        <v>1.5</v>
      </c>
      <c r="B58" s="7">
        <v>1.2999999999999999E-2</v>
      </c>
      <c r="C58" s="7">
        <v>0.01</v>
      </c>
      <c r="D58" s="9">
        <f t="shared" si="3"/>
        <v>0.57000000000000028</v>
      </c>
      <c r="E58" s="3">
        <f t="shared" si="4"/>
        <v>2.6568609515118675</v>
      </c>
      <c r="F58" s="3">
        <f t="shared" si="5"/>
        <v>0.61618780273798768</v>
      </c>
      <c r="G58" s="3">
        <f t="shared" si="6"/>
        <v>1.9926457136339006</v>
      </c>
      <c r="H58" s="3">
        <f t="shared" si="7"/>
        <v>2.1674965607110592</v>
      </c>
      <c r="I58" s="10">
        <f t="shared" si="8"/>
        <v>0.38000000000000017</v>
      </c>
      <c r="J58" s="11">
        <f t="shared" si="1"/>
        <v>0.30662568025538151</v>
      </c>
    </row>
    <row r="59" spans="1:10" x14ac:dyDescent="0.25">
      <c r="A59" s="7">
        <f t="shared" si="2"/>
        <v>1.5</v>
      </c>
      <c r="B59" s="7">
        <v>1.2999999999999999E-2</v>
      </c>
      <c r="C59" s="7">
        <v>0.01</v>
      </c>
      <c r="D59" s="9">
        <f t="shared" si="3"/>
        <v>0.58000000000000029</v>
      </c>
      <c r="E59" s="3">
        <f t="shared" si="4"/>
        <v>2.684284850271629</v>
      </c>
      <c r="F59" s="3">
        <f t="shared" si="5"/>
        <v>0.63077363403819797</v>
      </c>
      <c r="G59" s="3">
        <f t="shared" si="6"/>
        <v>2.0132136377037217</v>
      </c>
      <c r="H59" s="3">
        <f t="shared" si="7"/>
        <v>2.2383051375705914</v>
      </c>
      <c r="I59" s="10">
        <f t="shared" si="8"/>
        <v>0.38666666666666688</v>
      </c>
      <c r="J59" s="11">
        <f t="shared" si="1"/>
        <v>0.31664264103909179</v>
      </c>
    </row>
    <row r="60" spans="1:10" x14ac:dyDescent="0.25">
      <c r="A60" s="7">
        <f t="shared" si="2"/>
        <v>1.5</v>
      </c>
      <c r="B60" s="7">
        <v>1.2999999999999999E-2</v>
      </c>
      <c r="C60" s="7">
        <v>0.01</v>
      </c>
      <c r="D60" s="9">
        <f t="shared" si="3"/>
        <v>0.5900000000000003</v>
      </c>
      <c r="E60" s="3">
        <f t="shared" si="4"/>
        <v>2.711621507808442</v>
      </c>
      <c r="F60" s="3">
        <f t="shared" si="5"/>
        <v>0.64540601242010132</v>
      </c>
      <c r="G60" s="3">
        <f t="shared" si="6"/>
        <v>2.0337161308563316</v>
      </c>
      <c r="H60" s="3">
        <f t="shared" si="7"/>
        <v>2.309855277045755</v>
      </c>
      <c r="I60" s="10">
        <f t="shared" si="8"/>
        <v>0.39333333333333353</v>
      </c>
      <c r="J60" s="11">
        <f t="shared" si="1"/>
        <v>0.32676450724484124</v>
      </c>
    </row>
    <row r="61" spans="1:10" x14ac:dyDescent="0.25">
      <c r="A61" s="7">
        <f t="shared" si="2"/>
        <v>1.5</v>
      </c>
      <c r="B61" s="7">
        <v>1.2999999999999999E-2</v>
      </c>
      <c r="C61" s="7">
        <v>0.01</v>
      </c>
      <c r="D61" s="9">
        <f t="shared" si="3"/>
        <v>0.60000000000000031</v>
      </c>
      <c r="E61" s="3">
        <f t="shared" si="4"/>
        <v>2.7388768120091322</v>
      </c>
      <c r="F61" s="3">
        <f t="shared" si="5"/>
        <v>0.66008206495232558</v>
      </c>
      <c r="G61" s="3">
        <f t="shared" si="6"/>
        <v>2.0541576090068494</v>
      </c>
      <c r="H61" s="3">
        <f t="shared" si="7"/>
        <v>2.382122148870367</v>
      </c>
      <c r="I61" s="10">
        <f t="shared" si="8"/>
        <v>0.40000000000000019</v>
      </c>
      <c r="J61" s="11">
        <f t="shared" si="1"/>
        <v>0.33698776625009697</v>
      </c>
    </row>
    <row r="62" spans="1:10" x14ac:dyDescent="0.25">
      <c r="A62" s="7">
        <f t="shared" si="2"/>
        <v>1.5</v>
      </c>
      <c r="B62" s="7">
        <v>1.2999999999999999E-2</v>
      </c>
      <c r="C62" s="7">
        <v>0.01</v>
      </c>
      <c r="D62" s="9">
        <f t="shared" si="3"/>
        <v>0.61000000000000032</v>
      </c>
      <c r="E62" s="3">
        <f t="shared" si="4"/>
        <v>2.7660565034432092</v>
      </c>
      <c r="F62" s="3">
        <f t="shared" si="5"/>
        <v>0.67479894428258635</v>
      </c>
      <c r="G62" s="3">
        <f t="shared" si="6"/>
        <v>2.0745423775824068</v>
      </c>
      <c r="H62" s="3">
        <f t="shared" si="7"/>
        <v>2.4550806570472474</v>
      </c>
      <c r="I62" s="10">
        <f t="shared" si="8"/>
        <v>0.4066666666666669</v>
      </c>
      <c r="J62" s="11">
        <f t="shared" si="1"/>
        <v>0.34730886784059489</v>
      </c>
    </row>
    <row r="63" spans="1:10" x14ac:dyDescent="0.25">
      <c r="A63" s="7">
        <f t="shared" si="2"/>
        <v>1.5</v>
      </c>
      <c r="B63" s="7">
        <v>1.2999999999999999E-2</v>
      </c>
      <c r="C63" s="7">
        <v>0.01</v>
      </c>
      <c r="D63" s="9">
        <f t="shared" si="3"/>
        <v>0.62000000000000033</v>
      </c>
      <c r="E63" s="3">
        <f t="shared" si="4"/>
        <v>2.7931661878105141</v>
      </c>
      <c r="F63" s="3">
        <f t="shared" si="5"/>
        <v>0.68955382669608634</v>
      </c>
      <c r="G63" s="3">
        <f t="shared" si="6"/>
        <v>2.0948746408578858</v>
      </c>
      <c r="H63" s="3">
        <f t="shared" si="7"/>
        <v>2.5287054403646327</v>
      </c>
      <c r="I63" s="10">
        <f t="shared" si="8"/>
        <v>0.41333333333333355</v>
      </c>
      <c r="J63" s="11">
        <f t="shared" si="1"/>
        <v>0.35772422428339473</v>
      </c>
    </row>
    <row r="64" spans="1:10" x14ac:dyDescent="0.25">
      <c r="A64" s="7">
        <f t="shared" si="2"/>
        <v>1.5</v>
      </c>
      <c r="B64" s="7">
        <v>1.2999999999999999E-2</v>
      </c>
      <c r="C64" s="7">
        <v>0.01</v>
      </c>
      <c r="D64" s="9">
        <f t="shared" si="3"/>
        <v>0.63000000000000034</v>
      </c>
      <c r="E64" s="3">
        <f t="shared" si="4"/>
        <v>2.8202113476859729</v>
      </c>
      <c r="F64" s="3">
        <f t="shared" si="5"/>
        <v>0.70434391024605802</v>
      </c>
      <c r="G64" s="3">
        <f t="shared" si="6"/>
        <v>2.1151585107644797</v>
      </c>
      <c r="H64" s="3">
        <f t="shared" si="7"/>
        <v>2.6029708726097263</v>
      </c>
      <c r="I64" s="10">
        <f t="shared" si="8"/>
        <v>0.42000000000000021</v>
      </c>
      <c r="J64" s="11">
        <f t="shared" si="1"/>
        <v>0.36823021035708953</v>
      </c>
    </row>
    <row r="65" spans="1:10" x14ac:dyDescent="0.25">
      <c r="A65" s="7">
        <f t="shared" si="2"/>
        <v>1.5</v>
      </c>
      <c r="B65" s="7">
        <v>1.2999999999999999E-2</v>
      </c>
      <c r="C65" s="7">
        <v>0.01</v>
      </c>
      <c r="D65" s="9">
        <f t="shared" si="3"/>
        <v>0.64000000000000035</v>
      </c>
      <c r="E65" s="3">
        <f t="shared" si="4"/>
        <v>2.84719735363542</v>
      </c>
      <c r="F65" s="3">
        <f t="shared" si="5"/>
        <v>0.71916641294960004</v>
      </c>
      <c r="G65" s="3">
        <f t="shared" si="6"/>
        <v>2.1353980152265652</v>
      </c>
      <c r="H65" s="3">
        <f t="shared" si="7"/>
        <v>2.6778510624802387</v>
      </c>
      <c r="I65" s="10">
        <f t="shared" si="8"/>
        <v>0.42666666666666692</v>
      </c>
      <c r="J65" s="11">
        <f t="shared" si="1"/>
        <v>0.37882316333929206</v>
      </c>
    </row>
    <row r="66" spans="1:10" x14ac:dyDescent="0.25">
      <c r="A66" s="7">
        <f t="shared" si="2"/>
        <v>1.5</v>
      </c>
      <c r="B66" s="7">
        <v>1.2999999999999999E-2</v>
      </c>
      <c r="C66" s="7">
        <v>0.01</v>
      </c>
      <c r="D66" s="9">
        <f t="shared" si="3"/>
        <v>0.65000000000000036</v>
      </c>
      <c r="E66" s="3">
        <f t="shared" si="4"/>
        <v>2.8741294747699109</v>
      </c>
      <c r="F66" s="3">
        <f t="shared" si="5"/>
        <v>0.73401857104244506</v>
      </c>
      <c r="G66" s="3">
        <f t="shared" si="6"/>
        <v>2.1555971060774333</v>
      </c>
      <c r="H66" s="3">
        <f t="shared" si="7"/>
        <v>2.7533198531935756</v>
      </c>
      <c r="I66" s="10">
        <f t="shared" si="8"/>
        <v>0.43333333333333357</v>
      </c>
      <c r="J66" s="11">
        <f t="shared" si="1"/>
        <v>0.38949938295134834</v>
      </c>
    </row>
    <row r="67" spans="1:10" x14ac:dyDescent="0.25">
      <c r="A67" s="7">
        <f t="shared" si="2"/>
        <v>1.5</v>
      </c>
      <c r="B67" s="7">
        <v>1.2999999999999999E-2</v>
      </c>
      <c r="C67" s="7">
        <v>0.01</v>
      </c>
      <c r="D67" s="9">
        <f t="shared" si="3"/>
        <v>0.66000000000000036</v>
      </c>
      <c r="E67" s="3">
        <f t="shared" si="4"/>
        <v>2.901012888800218</v>
      </c>
      <c r="F67" s="3">
        <f t="shared" si="5"/>
        <v>0.74889763728671099</v>
      </c>
      <c r="G67" s="3">
        <f t="shared" si="6"/>
        <v>2.1757596666001637</v>
      </c>
      <c r="H67" s="3">
        <f t="shared" si="7"/>
        <v>2.8293508217920293</v>
      </c>
      <c r="I67" s="10">
        <f t="shared" si="8"/>
        <v>0.44000000000000022</v>
      </c>
      <c r="J67" s="11">
        <f t="shared" ref="J67:J130" si="9">H67/$H$151</f>
        <v>0.40025513126004619</v>
      </c>
    </row>
    <row r="68" spans="1:10" x14ac:dyDescent="0.25">
      <c r="A68" s="7">
        <f t="shared" ref="A68:A131" si="10">A67</f>
        <v>1.5</v>
      </c>
      <c r="B68" s="7">
        <v>1.2999999999999999E-2</v>
      </c>
      <c r="C68" s="7">
        <v>0.01</v>
      </c>
      <c r="D68" s="9">
        <f t="shared" ref="D68:D131" si="11">D67+0.01</f>
        <v>0.67000000000000037</v>
      </c>
      <c r="E68" s="3">
        <f t="shared" ref="E68:E131" si="12">2*ACOS(1-2*D68/A68)</f>
        <v>2.9278526916482237</v>
      </c>
      <c r="F68" s="3">
        <f t="shared" ref="F68:F131" si="13">A68^2*(E68-SIN(E68))/8</f>
        <v>0.76380087932605623</v>
      </c>
      <c r="G68" s="3">
        <f t="shared" ref="G68:G131" si="14">A68*E68/2</f>
        <v>2.195889518736168</v>
      </c>
      <c r="H68" s="3">
        <f t="shared" ref="H68:H131" si="15">(1/B68)*F68*(F68/G68)^(2/3)*SQRT(C68)</f>
        <v>2.9059172781410996</v>
      </c>
      <c r="I68" s="10">
        <f t="shared" ref="I68:I131" si="16">D68/A68</f>
        <v>0.44666666666666693</v>
      </c>
      <c r="J68" s="11">
        <f t="shared" si="9"/>
        <v>0.41108663253591249</v>
      </c>
    </row>
    <row r="69" spans="1:10" x14ac:dyDescent="0.25">
      <c r="A69" s="7">
        <f t="shared" si="10"/>
        <v>1.5</v>
      </c>
      <c r="B69" s="7">
        <v>1.2999999999999999E-2</v>
      </c>
      <c r="C69" s="7">
        <v>0.01</v>
      </c>
      <c r="D69" s="9">
        <f t="shared" si="11"/>
        <v>0.68000000000000038</v>
      </c>
      <c r="E69" s="3">
        <f t="shared" si="12"/>
        <v>2.9546539066676085</v>
      </c>
      <c r="F69" s="3">
        <f t="shared" si="13"/>
        <v>0.77872557808300069</v>
      </c>
      <c r="G69" s="3">
        <f t="shared" si="14"/>
        <v>2.2159904300007063</v>
      </c>
      <c r="H69" s="3">
        <f t="shared" si="15"/>
        <v>2.982992263616898</v>
      </c>
      <c r="I69" s="10">
        <f t="shared" si="16"/>
        <v>0.45333333333333359</v>
      </c>
      <c r="J69" s="11">
        <f t="shared" si="9"/>
        <v>0.42199007306752623</v>
      </c>
    </row>
    <row r="70" spans="1:10" x14ac:dyDescent="0.25">
      <c r="A70" s="7">
        <f t="shared" si="10"/>
        <v>1.5</v>
      </c>
      <c r="B70" s="7">
        <v>1.2999999999999999E-2</v>
      </c>
      <c r="C70" s="7">
        <v>0.01</v>
      </c>
      <c r="D70" s="9">
        <f t="shared" si="11"/>
        <v>0.69000000000000039</v>
      </c>
      <c r="E70" s="3">
        <f t="shared" si="12"/>
        <v>2.9814214935224763</v>
      </c>
      <c r="F70" s="3">
        <f t="shared" si="13"/>
        <v>0.79366902619343915</v>
      </c>
      <c r="G70" s="3">
        <f t="shared" si="14"/>
        <v>2.2360661201418575</v>
      </c>
      <c r="H70" s="3">
        <f t="shared" si="15"/>
        <v>3.0605485494771822</v>
      </c>
      <c r="I70" s="10">
        <f t="shared" si="16"/>
        <v>0.46000000000000024</v>
      </c>
      <c r="J70" s="11">
        <f t="shared" si="9"/>
        <v>0.43296160093107638</v>
      </c>
    </row>
    <row r="71" spans="1:10" x14ac:dyDescent="0.25">
      <c r="A71" s="7">
        <f t="shared" si="10"/>
        <v>1.5</v>
      </c>
      <c r="B71" s="7">
        <v>1.2999999999999999E-2</v>
      </c>
      <c r="C71" s="7">
        <v>0.01</v>
      </c>
      <c r="D71" s="9">
        <f t="shared" si="11"/>
        <v>0.7000000000000004</v>
      </c>
      <c r="E71" s="3">
        <f t="shared" si="12"/>
        <v>3.0081603567693436</v>
      </c>
      <c r="F71" s="3">
        <f t="shared" si="13"/>
        <v>0.8086285264736387</v>
      </c>
      <c r="G71" s="3">
        <f t="shared" si="14"/>
        <v>2.2561202675770078</v>
      </c>
      <c r="H71" s="3">
        <f t="shared" si="15"/>
        <v>3.1385586349094123</v>
      </c>
      <c r="I71" s="10">
        <f t="shared" si="16"/>
        <v>0.46666666666666695</v>
      </c>
      <c r="J71" s="11">
        <f t="shared" si="9"/>
        <v>0.4439973257142294</v>
      </c>
    </row>
    <row r="72" spans="1:10" x14ac:dyDescent="0.25">
      <c r="A72" s="7">
        <f t="shared" si="10"/>
        <v>1.5</v>
      </c>
      <c r="B72" s="7">
        <v>1.2999999999999999E-2</v>
      </c>
      <c r="C72" s="7">
        <v>0.01</v>
      </c>
      <c r="D72" s="9">
        <f t="shared" si="11"/>
        <v>0.71000000000000041</v>
      </c>
      <c r="E72" s="3">
        <f t="shared" si="12"/>
        <v>3.0348753541851763</v>
      </c>
      <c r="F72" s="3">
        <f t="shared" si="13"/>
        <v>0.82360139041521663</v>
      </c>
      <c r="G72" s="3">
        <f t="shared" si="14"/>
        <v>2.2761565156388821</v>
      </c>
      <c r="H72" s="3">
        <f t="shared" si="15"/>
        <v>3.2169947447477814</v>
      </c>
      <c r="I72" s="10">
        <f t="shared" si="16"/>
        <v>0.47333333333333361</v>
      </c>
      <c r="J72" s="11">
        <f t="shared" si="9"/>
        <v>0.45509331819316823</v>
      </c>
    </row>
    <row r="73" spans="1:10" x14ac:dyDescent="0.25">
      <c r="A73" s="7">
        <f t="shared" si="10"/>
        <v>1.5</v>
      </c>
      <c r="B73" s="7">
        <v>1.2999999999999999E-2</v>
      </c>
      <c r="C73" s="7">
        <v>0.01</v>
      </c>
      <c r="D73" s="9">
        <f t="shared" si="11"/>
        <v>0.72000000000000042</v>
      </c>
      <c r="E73" s="3">
        <f t="shared" si="12"/>
        <v>3.0615713048818165</v>
      </c>
      <c r="F73" s="3">
        <f t="shared" si="13"/>
        <v>0.83858493670377698</v>
      </c>
      <c r="G73" s="3">
        <f t="shared" si="14"/>
        <v>2.2961784786613624</v>
      </c>
      <c r="H73" s="3">
        <f t="shared" si="15"/>
        <v>3.2958288268498017</v>
      </c>
      <c r="I73" s="10">
        <f t="shared" si="16"/>
        <v>0.48000000000000026</v>
      </c>
      <c r="J73" s="11">
        <f t="shared" si="9"/>
        <v>0.46624560996147013</v>
      </c>
    </row>
    <row r="74" spans="1:10" x14ac:dyDescent="0.25">
      <c r="A74" s="7">
        <f t="shared" si="10"/>
        <v>1.5</v>
      </c>
      <c r="B74" s="7">
        <v>1.2999999999999999E-2</v>
      </c>
      <c r="C74" s="7">
        <v>0.01</v>
      </c>
      <c r="D74" s="9">
        <f t="shared" si="11"/>
        <v>0.73000000000000043</v>
      </c>
      <c r="E74" s="3">
        <f t="shared" si="12"/>
        <v>3.0882529972452342</v>
      </c>
      <c r="F74" s="3">
        <f t="shared" si="13"/>
        <v>0.85357648975704115</v>
      </c>
      <c r="G74" s="3">
        <f t="shared" si="14"/>
        <v>2.3161897479339255</v>
      </c>
      <c r="H74" s="3">
        <f t="shared" si="15"/>
        <v>3.3750325491216255</v>
      </c>
      <c r="I74" s="10">
        <f t="shared" si="16"/>
        <v>0.48666666666666697</v>
      </c>
      <c r="J74" s="11">
        <f t="shared" si="9"/>
        <v>0.47745019300929242</v>
      </c>
    </row>
    <row r="75" spans="1:10" x14ac:dyDescent="0.25">
      <c r="A75" s="7">
        <f t="shared" si="10"/>
        <v>1.5</v>
      </c>
      <c r="B75" s="7">
        <v>1.2999999999999999E-2</v>
      </c>
      <c r="C75" s="7">
        <v>0.01</v>
      </c>
      <c r="D75" s="9">
        <f t="shared" si="11"/>
        <v>0.74000000000000044</v>
      </c>
      <c r="E75" s="3">
        <f t="shared" si="12"/>
        <v>3.1149251967364542</v>
      </c>
      <c r="F75" s="3">
        <f t="shared" si="13"/>
        <v>0.86857337827842696</v>
      </c>
      <c r="G75" s="3">
        <f t="shared" si="14"/>
        <v>2.3361938975523406</v>
      </c>
      <c r="H75" s="3">
        <f t="shared" si="15"/>
        <v>3.454577296179659</v>
      </c>
      <c r="I75" s="10">
        <f t="shared" si="16"/>
        <v>0.49333333333333362</v>
      </c>
      <c r="J75" s="11">
        <f t="shared" si="9"/>
        <v>0.48870301925110682</v>
      </c>
    </row>
    <row r="76" spans="1:10" x14ac:dyDescent="0.25">
      <c r="A76" s="7">
        <f t="shared" si="10"/>
        <v>1.5</v>
      </c>
      <c r="B76" s="7">
        <v>1.2999999999999999E-2</v>
      </c>
      <c r="C76" s="7">
        <v>0.01</v>
      </c>
      <c r="D76" s="9">
        <f t="shared" si="11"/>
        <v>0.75000000000000044</v>
      </c>
      <c r="E76" s="3">
        <f t="shared" si="12"/>
        <v>3.1415926535897944</v>
      </c>
      <c r="F76" s="3">
        <f t="shared" si="13"/>
        <v>0.88357293382213009</v>
      </c>
      <c r="G76" s="3">
        <f t="shared" si="14"/>
        <v>2.3561944901923457</v>
      </c>
      <c r="H76" s="3">
        <f t="shared" si="15"/>
        <v>3.5344341656344698</v>
      </c>
      <c r="I76" s="10">
        <f t="shared" si="16"/>
        <v>0.50000000000000033</v>
      </c>
      <c r="J76" s="11">
        <f t="shared" si="9"/>
        <v>0.50000000000000067</v>
      </c>
    </row>
    <row r="77" spans="1:10" x14ac:dyDescent="0.25">
      <c r="A77" s="7">
        <f t="shared" si="10"/>
        <v>1.5</v>
      </c>
      <c r="B77" s="7">
        <v>1.2999999999999999E-2</v>
      </c>
      <c r="C77" s="7">
        <v>0.01</v>
      </c>
      <c r="D77" s="9">
        <f t="shared" si="11"/>
        <v>0.76000000000000045</v>
      </c>
      <c r="E77" s="3">
        <f t="shared" si="12"/>
        <v>3.1682601104431343</v>
      </c>
      <c r="F77" s="3">
        <f t="shared" si="13"/>
        <v>0.89857248936583289</v>
      </c>
      <c r="G77" s="3">
        <f t="shared" si="14"/>
        <v>2.3761950828323508</v>
      </c>
      <c r="H77" s="3">
        <f t="shared" si="15"/>
        <v>3.6145739639812144</v>
      </c>
      <c r="I77" s="10">
        <f t="shared" si="16"/>
        <v>0.50666666666666693</v>
      </c>
      <c r="J77" s="11">
        <f t="shared" si="9"/>
        <v>0.51133700538631532</v>
      </c>
    </row>
    <row r="78" spans="1:10" x14ac:dyDescent="0.25">
      <c r="A78" s="7">
        <f t="shared" si="10"/>
        <v>1.5</v>
      </c>
      <c r="B78" s="7">
        <v>1.2999999999999999E-2</v>
      </c>
      <c r="C78" s="7">
        <v>0.01</v>
      </c>
      <c r="D78" s="9">
        <f t="shared" si="11"/>
        <v>0.77000000000000046</v>
      </c>
      <c r="E78" s="3">
        <f t="shared" si="12"/>
        <v>3.1949323099343547</v>
      </c>
      <c r="F78" s="3">
        <f t="shared" si="13"/>
        <v>0.91356937788721881</v>
      </c>
      <c r="G78" s="3">
        <f t="shared" si="14"/>
        <v>2.3961992324507659</v>
      </c>
      <c r="H78" s="3">
        <f t="shared" si="15"/>
        <v>3.6949672020790305</v>
      </c>
      <c r="I78" s="10">
        <f t="shared" si="16"/>
        <v>0.51333333333333364</v>
      </c>
      <c r="J78" s="11">
        <f t="shared" si="9"/>
        <v>0.5227098637181361</v>
      </c>
    </row>
    <row r="79" spans="1:10" x14ac:dyDescent="0.25">
      <c r="A79" s="7">
        <f t="shared" si="10"/>
        <v>1.5</v>
      </c>
      <c r="B79" s="7">
        <v>1.2999999999999999E-2</v>
      </c>
      <c r="C79" s="7">
        <v>0.01</v>
      </c>
      <c r="D79" s="9">
        <f t="shared" si="11"/>
        <v>0.78000000000000047</v>
      </c>
      <c r="E79" s="3">
        <f t="shared" si="12"/>
        <v>3.2216140022977724</v>
      </c>
      <c r="F79" s="3">
        <f t="shared" si="13"/>
        <v>0.92856093094048309</v>
      </c>
      <c r="G79" s="3">
        <f t="shared" si="14"/>
        <v>2.4162105017233291</v>
      </c>
      <c r="H79" s="3">
        <f t="shared" si="15"/>
        <v>3.7755840901997502</v>
      </c>
      <c r="I79" s="10">
        <f t="shared" si="16"/>
        <v>0.52000000000000035</v>
      </c>
      <c r="J79" s="11">
        <f t="shared" si="9"/>
        <v>0.53411436078085739</v>
      </c>
    </row>
    <row r="80" spans="1:10" x14ac:dyDescent="0.25">
      <c r="A80" s="7">
        <f t="shared" si="10"/>
        <v>1.5</v>
      </c>
      <c r="B80" s="7">
        <v>1.2999999999999999E-2</v>
      </c>
      <c r="C80" s="7">
        <v>0.01</v>
      </c>
      <c r="D80" s="9">
        <f t="shared" si="11"/>
        <v>0.79000000000000048</v>
      </c>
      <c r="E80" s="3">
        <f t="shared" si="12"/>
        <v>3.2483099529944122</v>
      </c>
      <c r="F80" s="3">
        <f t="shared" si="13"/>
        <v>0.94354447722904311</v>
      </c>
      <c r="G80" s="3">
        <f t="shared" si="14"/>
        <v>2.4362324647458093</v>
      </c>
      <c r="H80" s="3">
        <f t="shared" si="15"/>
        <v>3.8563945326242313</v>
      </c>
      <c r="I80" s="10">
        <f t="shared" si="16"/>
        <v>0.52666666666666695</v>
      </c>
      <c r="J80" s="11">
        <f t="shared" si="9"/>
        <v>0.54554623907275002</v>
      </c>
    </row>
    <row r="81" spans="1:10" x14ac:dyDescent="0.25">
      <c r="A81" s="7">
        <f t="shared" si="10"/>
        <v>1.5</v>
      </c>
      <c r="B81" s="7">
        <v>1.2999999999999999E-2</v>
      </c>
      <c r="C81" s="7">
        <v>0.01</v>
      </c>
      <c r="D81" s="9">
        <f t="shared" si="11"/>
        <v>0.80000000000000049</v>
      </c>
      <c r="E81" s="3">
        <f t="shared" si="12"/>
        <v>3.2750249504102449</v>
      </c>
      <c r="F81" s="3">
        <f t="shared" si="13"/>
        <v>0.95851734117062104</v>
      </c>
      <c r="G81" s="3">
        <f t="shared" si="14"/>
        <v>2.4562687128076837</v>
      </c>
      <c r="H81" s="3">
        <f t="shared" si="15"/>
        <v>3.9373681217622791</v>
      </c>
      <c r="I81" s="10">
        <f t="shared" si="16"/>
        <v>0.53333333333333366</v>
      </c>
      <c r="J81" s="11">
        <f t="shared" si="9"/>
        <v>0.55700119697313466</v>
      </c>
    </row>
    <row r="82" spans="1:10" x14ac:dyDescent="0.25">
      <c r="A82" s="7">
        <f t="shared" si="10"/>
        <v>1.5</v>
      </c>
      <c r="B82" s="7">
        <v>1.2999999999999999E-2</v>
      </c>
      <c r="C82" s="7">
        <v>0.01</v>
      </c>
      <c r="D82" s="9">
        <f t="shared" si="11"/>
        <v>0.8100000000000005</v>
      </c>
      <c r="E82" s="3">
        <f t="shared" si="12"/>
        <v>3.3017638136571126</v>
      </c>
      <c r="F82" s="3">
        <f t="shared" si="13"/>
        <v>0.97347684145082081</v>
      </c>
      <c r="G82" s="3">
        <f t="shared" si="14"/>
        <v>2.4763228602428344</v>
      </c>
      <c r="H82" s="3">
        <f t="shared" si="15"/>
        <v>4.0184741317695103</v>
      </c>
      <c r="I82" s="10">
        <f t="shared" si="16"/>
        <v>0.54000000000000037</v>
      </c>
      <c r="J82" s="11">
        <f t="shared" si="9"/>
        <v>0.56847488783938849</v>
      </c>
    </row>
    <row r="83" spans="1:10" x14ac:dyDescent="0.25">
      <c r="A83" s="7">
        <f t="shared" si="10"/>
        <v>1.5</v>
      </c>
      <c r="B83" s="7">
        <v>1.2999999999999999E-2</v>
      </c>
      <c r="C83" s="7">
        <v>0.01</v>
      </c>
      <c r="D83" s="9">
        <f t="shared" si="11"/>
        <v>0.82000000000000051</v>
      </c>
      <c r="E83" s="3">
        <f t="shared" si="12"/>
        <v>3.3285314005119799</v>
      </c>
      <c r="F83" s="3">
        <f t="shared" si="13"/>
        <v>0.98842028956125927</v>
      </c>
      <c r="G83" s="3">
        <f t="shared" si="14"/>
        <v>2.4963985503839847</v>
      </c>
      <c r="H83" s="3">
        <f t="shared" si="15"/>
        <v>4.0996815116319132</v>
      </c>
      <c r="I83" s="10">
        <f t="shared" si="16"/>
        <v>0.54666666666666697</v>
      </c>
      <c r="J83" s="11">
        <f t="shared" si="9"/>
        <v>0.57996291902865038</v>
      </c>
    </row>
    <row r="84" spans="1:10" x14ac:dyDescent="0.25">
      <c r="A84" s="7">
        <f t="shared" si="10"/>
        <v>1.5</v>
      </c>
      <c r="B84" s="7">
        <v>1.2999999999999999E-2</v>
      </c>
      <c r="C84" s="7">
        <v>0.01</v>
      </c>
      <c r="D84" s="9">
        <f t="shared" si="11"/>
        <v>0.83000000000000052</v>
      </c>
      <c r="E84" s="3">
        <f t="shared" si="12"/>
        <v>3.3553326155313652</v>
      </c>
      <c r="F84" s="3">
        <f t="shared" si="13"/>
        <v>1.0033449883182037</v>
      </c>
      <c r="G84" s="3">
        <f t="shared" si="14"/>
        <v>2.5164994616485239</v>
      </c>
      <c r="H84" s="3">
        <f t="shared" si="15"/>
        <v>4.1809588776857023</v>
      </c>
      <c r="I84" s="10">
        <f t="shared" si="16"/>
        <v>0.55333333333333368</v>
      </c>
      <c r="J84" s="11">
        <f t="shared" si="9"/>
        <v>0.59146085083963928</v>
      </c>
    </row>
    <row r="85" spans="1:10" x14ac:dyDescent="0.25">
      <c r="A85" s="7">
        <f t="shared" si="10"/>
        <v>1.5</v>
      </c>
      <c r="B85" s="7">
        <v>1.2999999999999999E-2</v>
      </c>
      <c r="C85" s="7">
        <v>0.01</v>
      </c>
      <c r="D85" s="9">
        <f t="shared" si="11"/>
        <v>0.84000000000000052</v>
      </c>
      <c r="E85" s="3">
        <f t="shared" si="12"/>
        <v>3.3821724183793709</v>
      </c>
      <c r="F85" s="3">
        <f t="shared" si="13"/>
        <v>1.0182482303575491</v>
      </c>
      <c r="G85" s="3">
        <f t="shared" si="14"/>
        <v>2.5366293137845282</v>
      </c>
      <c r="H85" s="3">
        <f t="shared" si="15"/>
        <v>4.2622745055368583</v>
      </c>
      <c r="I85" s="10">
        <f t="shared" si="16"/>
        <v>0.56000000000000039</v>
      </c>
      <c r="J85" s="11">
        <f t="shared" si="9"/>
        <v>0.60296419536954926</v>
      </c>
    </row>
    <row r="86" spans="1:10" x14ac:dyDescent="0.25">
      <c r="A86" s="7">
        <f t="shared" si="10"/>
        <v>1.5</v>
      </c>
      <c r="B86" s="7">
        <v>1.2999999999999999E-2</v>
      </c>
      <c r="C86" s="7">
        <v>0.01</v>
      </c>
      <c r="D86" s="9">
        <f t="shared" si="11"/>
        <v>0.85000000000000053</v>
      </c>
      <c r="E86" s="3">
        <f t="shared" si="12"/>
        <v>3.4090558324096776</v>
      </c>
      <c r="F86" s="3">
        <f t="shared" si="13"/>
        <v>1.0331272966018148</v>
      </c>
      <c r="G86" s="3">
        <f t="shared" si="14"/>
        <v>2.5567918743072582</v>
      </c>
      <c r="H86" s="3">
        <f t="shared" si="15"/>
        <v>4.34359632134107</v>
      </c>
      <c r="I86" s="10">
        <f t="shared" si="16"/>
        <v>0.56666666666666698</v>
      </c>
      <c r="J86" s="11">
        <f t="shared" si="9"/>
        <v>0.61446841528046292</v>
      </c>
    </row>
    <row r="87" spans="1:10" x14ac:dyDescent="0.25">
      <c r="A87" s="7">
        <f t="shared" si="10"/>
        <v>1.5</v>
      </c>
      <c r="B87" s="7">
        <v>1.2999999999999999E-2</v>
      </c>
      <c r="C87" s="7">
        <v>0.01</v>
      </c>
      <c r="D87" s="9">
        <f t="shared" si="11"/>
        <v>0.86000000000000054</v>
      </c>
      <c r="E87" s="3">
        <f t="shared" si="12"/>
        <v>3.4359879535441689</v>
      </c>
      <c r="F87" s="3">
        <f t="shared" si="13"/>
        <v>1.0479794546946601</v>
      </c>
      <c r="G87" s="3">
        <f t="shared" si="14"/>
        <v>2.5769909651581266</v>
      </c>
      <c r="H87" s="3">
        <f t="shared" si="15"/>
        <v>4.4248918924007894</v>
      </c>
      <c r="I87" s="10">
        <f t="shared" si="16"/>
        <v>0.57333333333333369</v>
      </c>
      <c r="J87" s="11">
        <f t="shared" si="9"/>
        <v>0.62596892246916114</v>
      </c>
    </row>
    <row r="88" spans="1:10" x14ac:dyDescent="0.25">
      <c r="A88" s="7">
        <f t="shared" si="10"/>
        <v>1.5</v>
      </c>
      <c r="B88" s="7">
        <v>1.2999999999999999E-2</v>
      </c>
      <c r="C88" s="7">
        <v>0.01</v>
      </c>
      <c r="D88" s="9">
        <f t="shared" si="11"/>
        <v>0.87000000000000055</v>
      </c>
      <c r="E88" s="3">
        <f t="shared" si="12"/>
        <v>3.462973959493616</v>
      </c>
      <c r="F88" s="3">
        <f t="shared" si="13"/>
        <v>1.0628019573982019</v>
      </c>
      <c r="G88" s="3">
        <f t="shared" si="14"/>
        <v>2.5972304696202118</v>
      </c>
      <c r="H88" s="3">
        <f t="shared" si="15"/>
        <v>4.5061284170317126</v>
      </c>
      <c r="I88" s="10">
        <f t="shared" si="16"/>
        <v>0.5800000000000004</v>
      </c>
      <c r="J88" s="11">
        <f t="shared" si="9"/>
        <v>0.63746107663358031</v>
      </c>
    </row>
    <row r="89" spans="1:10" x14ac:dyDescent="0.25">
      <c r="A89" s="7">
        <f t="shared" si="10"/>
        <v>1.5</v>
      </c>
      <c r="B89" s="7">
        <v>1.2999999999999999E-2</v>
      </c>
      <c r="C89" s="7">
        <v>0.01</v>
      </c>
      <c r="D89" s="9">
        <f t="shared" si="11"/>
        <v>0.88000000000000056</v>
      </c>
      <c r="E89" s="3">
        <f t="shared" si="12"/>
        <v>3.4900191193690744</v>
      </c>
      <c r="F89" s="3">
        <f t="shared" si="13"/>
        <v>1.0775920409481734</v>
      </c>
      <c r="G89" s="3">
        <f t="shared" si="14"/>
        <v>2.6175143395268057</v>
      </c>
      <c r="H89" s="3">
        <f t="shared" si="15"/>
        <v>4.5872727136460441</v>
      </c>
      <c r="I89" s="10">
        <f t="shared" si="16"/>
        <v>0.586666666666667</v>
      </c>
      <c r="J89" s="11">
        <f t="shared" si="9"/>
        <v>0.64894018372847306</v>
      </c>
    </row>
    <row r="90" spans="1:10" x14ac:dyDescent="0.25">
      <c r="A90" s="7">
        <f t="shared" si="10"/>
        <v>1.5</v>
      </c>
      <c r="B90" s="7">
        <v>1.2999999999999999E-2</v>
      </c>
      <c r="C90" s="7">
        <v>0.01</v>
      </c>
      <c r="D90" s="9">
        <f t="shared" si="11"/>
        <v>0.89000000000000057</v>
      </c>
      <c r="E90" s="3">
        <f t="shared" si="12"/>
        <v>3.5171288037363793</v>
      </c>
      <c r="F90" s="3">
        <f t="shared" si="13"/>
        <v>1.0923469233616734</v>
      </c>
      <c r="G90" s="3">
        <f t="shared" si="14"/>
        <v>2.6378466028022842</v>
      </c>
      <c r="H90" s="3">
        <f t="shared" si="15"/>
        <v>4.6682912089944937</v>
      </c>
      <c r="I90" s="10">
        <f t="shared" si="16"/>
        <v>0.59333333333333371</v>
      </c>
      <c r="J90" s="11">
        <f t="shared" si="9"/>
        <v>0.66040149430205763</v>
      </c>
    </row>
    <row r="91" spans="1:10" x14ac:dyDescent="0.25">
      <c r="A91" s="7">
        <f t="shared" si="10"/>
        <v>1.5</v>
      </c>
      <c r="B91" s="7">
        <v>1.2999999999999999E-2</v>
      </c>
      <c r="C91" s="7">
        <v>0.01</v>
      </c>
      <c r="D91" s="9">
        <f t="shared" si="11"/>
        <v>0.90000000000000058</v>
      </c>
      <c r="E91" s="3">
        <f t="shared" si="12"/>
        <v>3.5443084951704567</v>
      </c>
      <c r="F91" s="3">
        <f t="shared" si="13"/>
        <v>1.1070638026919344</v>
      </c>
      <c r="G91" s="3">
        <f t="shared" si="14"/>
        <v>2.6582313713778425</v>
      </c>
      <c r="H91" s="3">
        <f t="shared" si="15"/>
        <v>4.749149925502862</v>
      </c>
      <c r="I91" s="10">
        <f t="shared" si="16"/>
        <v>0.60000000000000042</v>
      </c>
      <c r="J91" s="11">
        <f t="shared" si="9"/>
        <v>0.67184020170458369</v>
      </c>
    </row>
    <row r="92" spans="1:10" x14ac:dyDescent="0.25">
      <c r="A92" s="7">
        <f t="shared" si="10"/>
        <v>1.5</v>
      </c>
      <c r="B92" s="7">
        <v>1.2999999999999999E-2</v>
      </c>
      <c r="C92" s="7">
        <v>0.01</v>
      </c>
      <c r="D92" s="9">
        <f t="shared" si="11"/>
        <v>0.91000000000000059</v>
      </c>
      <c r="E92" s="3">
        <f t="shared" si="12"/>
        <v>3.5715637993711464</v>
      </c>
      <c r="F92" s="3">
        <f t="shared" si="13"/>
        <v>1.1217398552241584</v>
      </c>
      <c r="G92" s="3">
        <f t="shared" si="14"/>
        <v>2.6786728495283598</v>
      </c>
      <c r="H92" s="3">
        <f t="shared" si="15"/>
        <v>4.8298144676322767</v>
      </c>
      <c r="I92" s="10">
        <f t="shared" si="16"/>
        <v>0.60666666666666702</v>
      </c>
      <c r="J92" s="11">
        <f t="shared" si="9"/>
        <v>0.68325144015877837</v>
      </c>
    </row>
    <row r="93" spans="1:10" x14ac:dyDescent="0.25">
      <c r="A93" s="7">
        <f t="shared" si="10"/>
        <v>1.5</v>
      </c>
      <c r="B93" s="7">
        <v>1.2999999999999999E-2</v>
      </c>
      <c r="C93" s="7">
        <v>0.01</v>
      </c>
      <c r="D93" s="9">
        <f t="shared" si="11"/>
        <v>0.9200000000000006</v>
      </c>
      <c r="E93" s="3">
        <f t="shared" si="12"/>
        <v>3.5989004569079599</v>
      </c>
      <c r="F93" s="3">
        <f t="shared" si="13"/>
        <v>1.136372233606062</v>
      </c>
      <c r="G93" s="3">
        <f t="shared" si="14"/>
        <v>2.6991753426809701</v>
      </c>
      <c r="H93" s="3">
        <f t="shared" si="15"/>
        <v>4.9102500071846578</v>
      </c>
      <c r="I93" s="10">
        <f t="shared" si="16"/>
        <v>0.61333333333333373</v>
      </c>
      <c r="J93" s="11">
        <f t="shared" si="9"/>
        <v>0.69463028268107818</v>
      </c>
    </row>
    <row r="94" spans="1:10" x14ac:dyDescent="0.25">
      <c r="A94" s="7">
        <f t="shared" si="10"/>
        <v>1.5</v>
      </c>
      <c r="B94" s="7">
        <v>1.2999999999999999E-2</v>
      </c>
      <c r="C94" s="7">
        <v>0.01</v>
      </c>
      <c r="D94" s="9">
        <f t="shared" si="11"/>
        <v>0.9300000000000006</v>
      </c>
      <c r="E94" s="3">
        <f t="shared" si="12"/>
        <v>3.6263243556677214</v>
      </c>
      <c r="F94" s="3">
        <f t="shared" si="13"/>
        <v>1.1509580649062723</v>
      </c>
      <c r="G94" s="3">
        <f t="shared" si="14"/>
        <v>2.719743266750791</v>
      </c>
      <c r="H94" s="3">
        <f t="shared" si="15"/>
        <v>4.9904212674663082</v>
      </c>
      <c r="I94" s="10">
        <f t="shared" si="16"/>
        <v>0.62000000000000044</v>
      </c>
      <c r="J94" s="11">
        <f t="shared" si="9"/>
        <v>0.70597173884132591</v>
      </c>
    </row>
    <row r="95" spans="1:10" x14ac:dyDescent="0.25">
      <c r="A95" s="7">
        <f t="shared" si="10"/>
        <v>1.5</v>
      </c>
      <c r="B95" s="7">
        <v>1.2999999999999999E-2</v>
      </c>
      <c r="C95" s="7">
        <v>0.01</v>
      </c>
      <c r="D95" s="9">
        <f t="shared" si="11"/>
        <v>0.94000000000000061</v>
      </c>
      <c r="E95" s="3">
        <f t="shared" si="12"/>
        <v>3.653841544086601</v>
      </c>
      <c r="F95" s="3">
        <f t="shared" si="13"/>
        <v>1.1654944485932066</v>
      </c>
      <c r="G95" s="3">
        <f t="shared" si="14"/>
        <v>2.7403811580649506</v>
      </c>
      <c r="H95" s="3">
        <f t="shared" si="15"/>
        <v>5.070292506213244</v>
      </c>
      <c r="I95" s="10">
        <f t="shared" si="16"/>
        <v>0.62666666666666704</v>
      </c>
      <c r="J95" s="11">
        <f t="shared" si="9"/>
        <v>0.71727075234729654</v>
      </c>
    </row>
    <row r="96" spans="1:10" x14ac:dyDescent="0.25">
      <c r="A96" s="7">
        <f t="shared" si="10"/>
        <v>1.5</v>
      </c>
      <c r="B96" s="7">
        <v>1.2999999999999999E-2</v>
      </c>
      <c r="C96" s="7">
        <v>0.01</v>
      </c>
      <c r="D96" s="9">
        <f t="shared" si="11"/>
        <v>0.95000000000000062</v>
      </c>
      <c r="E96" s="3">
        <f t="shared" si="12"/>
        <v>3.6814582452566018</v>
      </c>
      <c r="F96" s="3">
        <f t="shared" si="13"/>
        <v>1.1799784544264293</v>
      </c>
      <c r="G96" s="3">
        <f t="shared" si="14"/>
        <v>2.7610936839424514</v>
      </c>
      <c r="H96" s="3">
        <f t="shared" si="15"/>
        <v>5.14982749717087</v>
      </c>
      <c r="I96" s="10">
        <f t="shared" si="16"/>
        <v>0.63333333333333375</v>
      </c>
      <c r="J96" s="11">
        <f t="shared" si="9"/>
        <v>0.72852219843885913</v>
      </c>
    </row>
    <row r="97" spans="1:10" x14ac:dyDescent="0.25">
      <c r="A97" s="7">
        <f t="shared" si="10"/>
        <v>1.5</v>
      </c>
      <c r="B97" s="7">
        <v>1.2999999999999999E-2</v>
      </c>
      <c r="C97" s="7">
        <v>0.01</v>
      </c>
      <c r="D97" s="9">
        <f t="shared" si="11"/>
        <v>0.96000000000000063</v>
      </c>
      <c r="E97" s="3">
        <f t="shared" si="12"/>
        <v>3.7091808720064505</v>
      </c>
      <c r="F97" s="3">
        <f t="shared" si="13"/>
        <v>1.1944071202518147</v>
      </c>
      <c r="G97" s="3">
        <f t="shared" si="14"/>
        <v>2.7818856540048378</v>
      </c>
      <c r="H97" s="3">
        <f t="shared" si="15"/>
        <v>5.2289895102086632</v>
      </c>
      <c r="I97" s="10">
        <f t="shared" si="16"/>
        <v>0.64000000000000046</v>
      </c>
      <c r="J97" s="11">
        <f t="shared" si="9"/>
        <v>0.73972088107489331</v>
      </c>
    </row>
    <row r="98" spans="1:10" x14ac:dyDescent="0.25">
      <c r="A98" s="7">
        <f t="shared" si="10"/>
        <v>1.5</v>
      </c>
      <c r="B98" s="7">
        <v>1.2999999999999999E-2</v>
      </c>
      <c r="C98" s="7">
        <v>0.01</v>
      </c>
      <c r="D98" s="9">
        <f t="shared" si="11"/>
        <v>0.97000000000000064</v>
      </c>
      <c r="E98" s="3">
        <f t="shared" si="12"/>
        <v>3.7370160430681469</v>
      </c>
      <c r="F98" s="3">
        <f t="shared" si="13"/>
        <v>1.2087774496910582</v>
      </c>
      <c r="G98" s="3">
        <f t="shared" si="14"/>
        <v>2.8027620323011102</v>
      </c>
      <c r="H98" s="3">
        <f t="shared" si="15"/>
        <v>5.30774128983672</v>
      </c>
      <c r="I98" s="10">
        <f t="shared" si="16"/>
        <v>0.64666666666666706</v>
      </c>
      <c r="J98" s="11">
        <f t="shared" si="9"/>
        <v>0.75086152989412513</v>
      </c>
    </row>
    <row r="99" spans="1:10" x14ac:dyDescent="0.25">
      <c r="A99" s="7">
        <f t="shared" si="10"/>
        <v>1.5</v>
      </c>
      <c r="B99" s="7">
        <v>1.2999999999999999E-2</v>
      </c>
      <c r="C99" s="7">
        <v>0.01</v>
      </c>
      <c r="D99" s="9">
        <f t="shared" si="11"/>
        <v>0.98000000000000065</v>
      </c>
      <c r="E99" s="3">
        <f t="shared" si="12"/>
        <v>3.7649706004533914</v>
      </c>
      <c r="F99" s="3">
        <f t="shared" si="13"/>
        <v>1.2230864097152043</v>
      </c>
      <c r="G99" s="3">
        <f t="shared" si="14"/>
        <v>2.8237279503400434</v>
      </c>
      <c r="H99" s="3">
        <f t="shared" si="15"/>
        <v>5.3860450319754616</v>
      </c>
      <c r="I99" s="10">
        <f t="shared" si="16"/>
        <v>0.65333333333333377</v>
      </c>
      <c r="J99" s="11">
        <f t="shared" si="9"/>
        <v>0.76193879692884514</v>
      </c>
    </row>
    <row r="100" spans="1:10" x14ac:dyDescent="0.25">
      <c r="A100" s="7">
        <f t="shared" si="10"/>
        <v>1.5</v>
      </c>
      <c r="B100" s="7">
        <v>1.2999999999999999E-2</v>
      </c>
      <c r="C100" s="7">
        <v>0.01</v>
      </c>
      <c r="D100" s="9">
        <f t="shared" si="11"/>
        <v>0.99000000000000066</v>
      </c>
      <c r="E100" s="3">
        <f t="shared" si="12"/>
        <v>3.7930516281790556</v>
      </c>
      <c r="F100" s="3">
        <f t="shared" si="13"/>
        <v>1.2373309280908689</v>
      </c>
      <c r="G100" s="3">
        <f t="shared" si="14"/>
        <v>2.8447887211342917</v>
      </c>
      <c r="H100" s="3">
        <f t="shared" si="15"/>
        <v>5.4638623588120971</v>
      </c>
      <c r="I100" s="10">
        <f t="shared" si="16"/>
        <v>0.66000000000000048</v>
      </c>
      <c r="J100" s="11">
        <f t="shared" si="9"/>
        <v>0.77294725304796863</v>
      </c>
    </row>
    <row r="101" spans="1:10" x14ac:dyDescent="0.25">
      <c r="A101" s="7">
        <f t="shared" si="10"/>
        <v>1.5</v>
      </c>
      <c r="B101" s="7">
        <v>1.2999999999999999E-2</v>
      </c>
      <c r="C101" s="7">
        <v>0.01</v>
      </c>
      <c r="D101" s="9">
        <f t="shared" si="11"/>
        <v>1.0000000000000007</v>
      </c>
      <c r="E101" s="3">
        <f t="shared" si="12"/>
        <v>3.8212664724980385</v>
      </c>
      <c r="F101" s="3">
        <f t="shared" si="13"/>
        <v>1.2515078906867103</v>
      </c>
      <c r="G101" s="3">
        <f t="shared" si="14"/>
        <v>2.8659498543735289</v>
      </c>
      <c r="H101" s="3">
        <f t="shared" si="15"/>
        <v>5.5411542915572971</v>
      </c>
      <c r="I101" s="10">
        <f t="shared" si="16"/>
        <v>0.66666666666666707</v>
      </c>
      <c r="J101" s="11">
        <f t="shared" si="9"/>
        <v>0.78388138410304875</v>
      </c>
    </row>
    <row r="102" spans="1:10" x14ac:dyDescent="0.25">
      <c r="A102" s="7">
        <f t="shared" si="10"/>
        <v>1.5</v>
      </c>
      <c r="B102" s="7">
        <v>1.2999999999999999E-2</v>
      </c>
      <c r="C102" s="7">
        <v>0.01</v>
      </c>
      <c r="D102" s="9">
        <f t="shared" si="11"/>
        <v>1.0100000000000007</v>
      </c>
      <c r="E102" s="3">
        <f t="shared" si="12"/>
        <v>3.8496227638117118</v>
      </c>
      <c r="F102" s="3">
        <f t="shared" si="13"/>
        <v>1.2656141386264443</v>
      </c>
      <c r="G102" s="3">
        <f t="shared" si="14"/>
        <v>2.8872170728587836</v>
      </c>
      <c r="H102" s="3">
        <f t="shared" si="15"/>
        <v>5.6178812208924196</v>
      </c>
      <c r="I102" s="10">
        <f t="shared" si="16"/>
        <v>0.67333333333333378</v>
      </c>
      <c r="J102" s="11">
        <f t="shared" si="9"/>
        <v>0.79473558674758282</v>
      </c>
    </row>
    <row r="103" spans="1:10" x14ac:dyDescent="0.25">
      <c r="A103" s="7">
        <f t="shared" si="10"/>
        <v>1.5</v>
      </c>
      <c r="B103" s="7">
        <v>1.2999999999999999E-2</v>
      </c>
      <c r="C103" s="7">
        <v>0.01</v>
      </c>
      <c r="D103" s="9">
        <f t="shared" si="11"/>
        <v>1.0200000000000007</v>
      </c>
      <c r="E103" s="3">
        <f t="shared" si="12"/>
        <v>3.8781284404630751</v>
      </c>
      <c r="F103" s="3">
        <f t="shared" si="13"/>
        <v>1.279646465273228</v>
      </c>
      <c r="G103" s="3">
        <f t="shared" si="14"/>
        <v>2.9085963303473061</v>
      </c>
      <c r="H103" s="3">
        <f t="shared" si="15"/>
        <v>5.694002874871213</v>
      </c>
      <c r="I103" s="10">
        <f t="shared" si="16"/>
        <v>0.68000000000000049</v>
      </c>
      <c r="J103" s="11">
        <f t="shared" si="9"/>
        <v>0.80550416389621515</v>
      </c>
    </row>
    <row r="104" spans="1:10" x14ac:dyDescent="0.25">
      <c r="A104" s="7">
        <f t="shared" si="10"/>
        <v>1.5</v>
      </c>
      <c r="B104" s="7">
        <v>1.2999999999999999E-2</v>
      </c>
      <c r="C104" s="7">
        <v>0.01</v>
      </c>
      <c r="D104" s="9">
        <f t="shared" si="11"/>
        <v>1.0300000000000007</v>
      </c>
      <c r="E104" s="3">
        <f t="shared" si="12"/>
        <v>3.9067917746363898</v>
      </c>
      <c r="F104" s="3">
        <f t="shared" si="13"/>
        <v>1.2936016130286334</v>
      </c>
      <c r="G104" s="3">
        <f t="shared" si="14"/>
        <v>2.9300938309772926</v>
      </c>
      <c r="H104" s="3">
        <f t="shared" si="15"/>
        <v>5.7694782840095744</v>
      </c>
      <c r="I104" s="10">
        <f t="shared" si="16"/>
        <v>0.68666666666666709</v>
      </c>
      <c r="J104" s="11">
        <f t="shared" si="9"/>
        <v>0.81618131978614705</v>
      </c>
    </row>
    <row r="105" spans="1:10" x14ac:dyDescent="0.25">
      <c r="A105" s="7">
        <f t="shared" si="10"/>
        <v>1.5</v>
      </c>
      <c r="B105" s="7">
        <v>1.2999999999999999E-2</v>
      </c>
      <c r="C105" s="7">
        <v>0.01</v>
      </c>
      <c r="D105" s="9">
        <f t="shared" si="11"/>
        <v>1.0400000000000007</v>
      </c>
      <c r="E105" s="3">
        <f t="shared" si="12"/>
        <v>3.9356214006199588</v>
      </c>
      <c r="F105" s="3">
        <f t="shared" si="13"/>
        <v>1.3074762699275344</v>
      </c>
      <c r="G105" s="3">
        <f t="shared" si="14"/>
        <v>2.9517160504649693</v>
      </c>
      <c r="H105" s="3">
        <f t="shared" si="15"/>
        <v>5.8442657432619187</v>
      </c>
      <c r="I105" s="10">
        <f t="shared" si="16"/>
        <v>0.6933333333333338</v>
      </c>
      <c r="J105" s="11">
        <f t="shared" si="9"/>
        <v>0.8267611545981105</v>
      </c>
    </row>
    <row r="106" spans="1:10" x14ac:dyDescent="0.25">
      <c r="A106" s="7">
        <f t="shared" si="10"/>
        <v>1.5</v>
      </c>
      <c r="B106" s="7">
        <v>1.2999999999999999E-2</v>
      </c>
      <c r="C106" s="7">
        <v>0.01</v>
      </c>
      <c r="D106" s="9">
        <f t="shared" si="11"/>
        <v>1.0500000000000007</v>
      </c>
      <c r="E106" s="3">
        <f t="shared" si="12"/>
        <v>3.9646263457247715</v>
      </c>
      <c r="F106" s="3">
        <f t="shared" si="13"/>
        <v>1.3212670660081052</v>
      </c>
      <c r="G106" s="3">
        <f t="shared" si="14"/>
        <v>2.9734697592935788</v>
      </c>
      <c r="H106" s="3">
        <f t="shared" si="15"/>
        <v>5.9183227705421872</v>
      </c>
      <c r="I106" s="10">
        <f t="shared" si="16"/>
        <v>0.70000000000000051</v>
      </c>
      <c r="J106" s="11">
        <f t="shared" si="9"/>
        <v>0.83723765858852706</v>
      </c>
    </row>
    <row r="107" spans="1:10" x14ac:dyDescent="0.25">
      <c r="A107" s="7">
        <f t="shared" si="10"/>
        <v>1.5</v>
      </c>
      <c r="B107" s="7">
        <v>1.2999999999999999E-2</v>
      </c>
      <c r="C107" s="7">
        <v>0.01</v>
      </c>
      <c r="D107" s="9">
        <f t="shared" si="11"/>
        <v>1.0600000000000007</v>
      </c>
      <c r="E107" s="3">
        <f t="shared" si="12"/>
        <v>3.9938160641938882</v>
      </c>
      <c r="F107" s="3">
        <f t="shared" si="13"/>
        <v>1.3349705694336833</v>
      </c>
      <c r="G107" s="3">
        <f t="shared" si="14"/>
        <v>2.9953620481454162</v>
      </c>
      <c r="H107" s="3">
        <f t="shared" si="15"/>
        <v>5.9916060614006286</v>
      </c>
      <c r="I107" s="10">
        <f t="shared" si="16"/>
        <v>0.70666666666666711</v>
      </c>
      <c r="J107" s="11">
        <f t="shared" si="9"/>
        <v>0.8476047056778433</v>
      </c>
    </row>
    <row r="108" spans="1:10" x14ac:dyDescent="0.25">
      <c r="A108" s="7">
        <f t="shared" si="10"/>
        <v>1.5</v>
      </c>
      <c r="B108" s="7">
        <v>1.2999999999999999E-2</v>
      </c>
      <c r="C108" s="7">
        <v>0.01</v>
      </c>
      <c r="D108" s="9">
        <f t="shared" si="11"/>
        <v>1.0700000000000007</v>
      </c>
      <c r="E108" s="3">
        <f t="shared" si="12"/>
        <v>4.0232004744868384</v>
      </c>
      <c r="F108" s="3">
        <f t="shared" si="13"/>
        <v>1.3485832823404524</v>
      </c>
      <c r="G108" s="3">
        <f t="shared" si="14"/>
        <v>3.0174003558651288</v>
      </c>
      <c r="H108" s="3">
        <f t="shared" si="15"/>
        <v>6.0640714394128743</v>
      </c>
      <c r="I108" s="10">
        <f t="shared" si="16"/>
        <v>0.71333333333333382</v>
      </c>
      <c r="J108" s="11">
        <f t="shared" si="9"/>
        <v>0.85785604643230284</v>
      </c>
    </row>
    <row r="109" spans="1:10" x14ac:dyDescent="0.25">
      <c r="A109" s="7">
        <f t="shared" si="10"/>
        <v>1.5</v>
      </c>
      <c r="B109" s="7">
        <v>1.2999999999999999E-2</v>
      </c>
      <c r="C109" s="7">
        <v>0.01</v>
      </c>
      <c r="D109" s="9">
        <f t="shared" si="11"/>
        <v>1.0800000000000007</v>
      </c>
      <c r="E109" s="3">
        <f t="shared" si="12"/>
        <v>4.0527900003814423</v>
      </c>
      <c r="F109" s="3">
        <f t="shared" si="13"/>
        <v>1.3621016363816532</v>
      </c>
      <c r="G109" s="3">
        <f t="shared" si="14"/>
        <v>3.0395925002860817</v>
      </c>
      <c r="H109" s="3">
        <f t="shared" si="15"/>
        <v>6.1356738017739785</v>
      </c>
      <c r="I109" s="10">
        <f t="shared" si="16"/>
        <v>0.72000000000000053</v>
      </c>
      <c r="J109" s="11">
        <f t="shared" si="9"/>
        <v>0.86798530036738797</v>
      </c>
    </row>
    <row r="110" spans="1:10" x14ac:dyDescent="0.25">
      <c r="A110" s="7">
        <f t="shared" si="10"/>
        <v>1.5</v>
      </c>
      <c r="B110" s="7">
        <v>1.2999999999999999E-2</v>
      </c>
      <c r="C110" s="7">
        <v>0.01</v>
      </c>
      <c r="D110" s="9">
        <f t="shared" si="11"/>
        <v>1.0900000000000007</v>
      </c>
      <c r="E110" s="3">
        <f t="shared" si="12"/>
        <v>4.0825956164041095</v>
      </c>
      <c r="F110" s="3">
        <f t="shared" si="13"/>
        <v>1.3755219879353286</v>
      </c>
      <c r="G110" s="3">
        <f t="shared" si="14"/>
        <v>3.0619467123030821</v>
      </c>
      <c r="H110" s="3">
        <f t="shared" si="15"/>
        <v>6.2063670595154461</v>
      </c>
      <c r="I110" s="10">
        <f t="shared" si="16"/>
        <v>0.72666666666666713</v>
      </c>
      <c r="J110" s="11">
        <f t="shared" si="9"/>
        <v>0.87798594749059977</v>
      </c>
    </row>
    <row r="111" spans="1:10" x14ac:dyDescent="0.25">
      <c r="A111" s="7">
        <f t="shared" si="10"/>
        <v>1.5</v>
      </c>
      <c r="B111" s="7">
        <v>1.2999999999999999E-2</v>
      </c>
      <c r="C111" s="7">
        <v>0.01</v>
      </c>
      <c r="D111" s="9">
        <f t="shared" si="11"/>
        <v>1.1000000000000008</v>
      </c>
      <c r="E111" s="3">
        <f t="shared" si="12"/>
        <v>4.1126288981809775</v>
      </c>
      <c r="F111" s="3">
        <f t="shared" si="13"/>
        <v>1.3888406129382782</v>
      </c>
      <c r="G111" s="3">
        <f t="shared" si="14"/>
        <v>3.0844716736357332</v>
      </c>
      <c r="H111" s="3">
        <f t="shared" si="15"/>
        <v>6.2761040716753387</v>
      </c>
      <c r="I111" s="10">
        <f t="shared" si="16"/>
        <v>0.73333333333333384</v>
      </c>
      <c r="J111" s="11">
        <f t="shared" si="9"/>
        <v>0.88785131898880876</v>
      </c>
    </row>
    <row r="112" spans="1:10" x14ac:dyDescent="0.25">
      <c r="A112" s="7">
        <f t="shared" si="10"/>
        <v>1.5</v>
      </c>
      <c r="B112" s="7">
        <v>1.2999999999999999E-2</v>
      </c>
      <c r="C112" s="7">
        <v>0.01</v>
      </c>
      <c r="D112" s="9">
        <f t="shared" si="11"/>
        <v>1.1100000000000008</v>
      </c>
      <c r="E112" s="3">
        <f t="shared" si="12"/>
        <v>4.1429020783989721</v>
      </c>
      <c r="F112" s="3">
        <f t="shared" si="13"/>
        <v>1.4020537013038934</v>
      </c>
      <c r="G112" s="3">
        <f t="shared" si="14"/>
        <v>3.107176558799229</v>
      </c>
      <c r="H112" s="3">
        <f t="shared" si="15"/>
        <v>6.3448365726478322</v>
      </c>
      <c r="I112" s="10">
        <f t="shared" si="16"/>
        <v>0.74000000000000055</v>
      </c>
      <c r="J112" s="11">
        <f t="shared" si="9"/>
        <v>0.89757458695073378</v>
      </c>
    </row>
    <row r="113" spans="1:10" x14ac:dyDescent="0.25">
      <c r="A113" s="7">
        <f t="shared" si="10"/>
        <v>1.5</v>
      </c>
      <c r="B113" s="7">
        <v>1.2999999999999999E-2</v>
      </c>
      <c r="C113" s="7">
        <v>0.01</v>
      </c>
      <c r="D113" s="9">
        <f t="shared" si="11"/>
        <v>1.1200000000000008</v>
      </c>
      <c r="E113" s="3">
        <f t="shared" si="12"/>
        <v>4.1734281091813923</v>
      </c>
      <c r="F113" s="3">
        <f t="shared" si="13"/>
        <v>1.4151573508757083</v>
      </c>
      <c r="G113" s="3">
        <f t="shared" si="14"/>
        <v>3.1300710818860442</v>
      </c>
      <c r="H113" s="3">
        <f t="shared" si="15"/>
        <v>6.4125150918155516</v>
      </c>
      <c r="I113" s="10">
        <f t="shared" si="16"/>
        <v>0.74666666666666714</v>
      </c>
      <c r="J113" s="11">
        <f t="shared" si="9"/>
        <v>0.90714875299770137</v>
      </c>
    </row>
    <row r="114" spans="1:10" x14ac:dyDescent="0.25">
      <c r="A114" s="7">
        <f t="shared" si="10"/>
        <v>1.5</v>
      </c>
      <c r="B114" s="7">
        <v>1.2999999999999999E-2</v>
      </c>
      <c r="C114" s="7">
        <v>0.01</v>
      </c>
      <c r="D114" s="9">
        <f t="shared" si="11"/>
        <v>1.1300000000000008</v>
      </c>
      <c r="E114" s="3">
        <f t="shared" si="12"/>
        <v>4.2042207318211533</v>
      </c>
      <c r="F114" s="3">
        <f t="shared" si="13"/>
        <v>1.4281475608616732</v>
      </c>
      <c r="G114" s="3">
        <f t="shared" si="14"/>
        <v>3.1531655488658652</v>
      </c>
      <c r="H114" s="3">
        <f t="shared" si="15"/>
        <v>6.4790888644217208</v>
      </c>
      <c r="I114" s="10">
        <f t="shared" si="16"/>
        <v>0.75333333333333385</v>
      </c>
      <c r="J114" s="11">
        <f t="shared" si="9"/>
        <v>0.9165666356751424</v>
      </c>
    </row>
    <row r="115" spans="1:10" x14ac:dyDescent="0.25">
      <c r="A115" s="7">
        <f t="shared" si="10"/>
        <v>1.5</v>
      </c>
      <c r="B115" s="7">
        <v>1.2999999999999999E-2</v>
      </c>
      <c r="C115" s="7">
        <v>0.01</v>
      </c>
      <c r="D115" s="9">
        <f t="shared" si="11"/>
        <v>1.1400000000000008</v>
      </c>
      <c r="E115" s="3">
        <f t="shared" si="12"/>
        <v>4.2352945549816843</v>
      </c>
      <c r="F115" s="3">
        <f t="shared" si="13"/>
        <v>1.4410202246861317</v>
      </c>
      <c r="G115" s="3">
        <f t="shared" si="14"/>
        <v>3.176470916236263</v>
      </c>
      <c r="H115" s="3">
        <f t="shared" si="15"/>
        <v>6.5445057324639251</v>
      </c>
      <c r="I115" s="10">
        <f t="shared" si="16"/>
        <v>0.76000000000000056</v>
      </c>
      <c r="J115" s="11">
        <f t="shared" si="9"/>
        <v>0.92582085643249257</v>
      </c>
    </row>
    <row r="116" spans="1:10" x14ac:dyDescent="0.25">
      <c r="A116" s="7">
        <f t="shared" si="10"/>
        <v>1.5</v>
      </c>
      <c r="B116" s="7">
        <v>1.2999999999999999E-2</v>
      </c>
      <c r="C116" s="7">
        <v>0.01</v>
      </c>
      <c r="D116" s="9">
        <f t="shared" si="11"/>
        <v>1.1500000000000008</v>
      </c>
      <c r="E116" s="3">
        <f t="shared" si="12"/>
        <v>4.2666651426775069</v>
      </c>
      <c r="F116" s="3">
        <f t="shared" si="13"/>
        <v>1.4537711221870395</v>
      </c>
      <c r="G116" s="3">
        <f t="shared" si="14"/>
        <v>3.1999988570081301</v>
      </c>
      <c r="H116" s="3">
        <f t="shared" si="15"/>
        <v>6.6087120341810426</v>
      </c>
      <c r="I116" s="10">
        <f t="shared" si="16"/>
        <v>0.76666666666666716</v>
      </c>
      <c r="J116" s="11">
        <f t="shared" si="9"/>
        <v>0.9349038239894214</v>
      </c>
    </row>
    <row r="117" spans="1:10" x14ac:dyDescent="0.25">
      <c r="A117" s="7">
        <f t="shared" si="10"/>
        <v>1.5</v>
      </c>
      <c r="B117" s="7">
        <v>1.2999999999999999E-2</v>
      </c>
      <c r="C117" s="7">
        <v>0.01</v>
      </c>
      <c r="D117" s="9">
        <f t="shared" si="11"/>
        <v>1.1600000000000008</v>
      </c>
      <c r="E117" s="3">
        <f t="shared" si="12"/>
        <v>4.2983491135922032</v>
      </c>
      <c r="F117" s="3">
        <f t="shared" si="13"/>
        <v>1.4663959110747717</v>
      </c>
      <c r="G117" s="3">
        <f t="shared" si="14"/>
        <v>3.2237618351941526</v>
      </c>
      <c r="H117" s="3">
        <f t="shared" si="15"/>
        <v>6.6716524804509767</v>
      </c>
      <c r="I117" s="10">
        <f t="shared" si="16"/>
        <v>0.77333333333333387</v>
      </c>
      <c r="J117" s="11">
        <f t="shared" si="9"/>
        <v>0.94380771685039311</v>
      </c>
    </row>
    <row r="118" spans="1:10" x14ac:dyDescent="0.25">
      <c r="A118" s="7">
        <f t="shared" si="10"/>
        <v>1.5</v>
      </c>
      <c r="B118" s="7">
        <v>1.2999999999999999E-2</v>
      </c>
      <c r="C118" s="7">
        <v>0.01</v>
      </c>
      <c r="D118" s="9">
        <f t="shared" si="11"/>
        <v>1.1700000000000008</v>
      </c>
      <c r="E118" s="3">
        <f t="shared" si="12"/>
        <v>4.3303642535919202</v>
      </c>
      <c r="F118" s="3">
        <f t="shared" si="13"/>
        <v>1.4788901175555482</v>
      </c>
      <c r="G118" s="3">
        <f t="shared" si="14"/>
        <v>3.2477731901939402</v>
      </c>
      <c r="H118" s="3">
        <f t="shared" si="15"/>
        <v>6.7332700161084507</v>
      </c>
      <c r="I118" s="10">
        <f t="shared" si="16"/>
        <v>0.78000000000000058</v>
      </c>
      <c r="J118" s="11">
        <f t="shared" si="9"/>
        <v>0.95252446368593824</v>
      </c>
    </row>
    <row r="119" spans="1:10" x14ac:dyDescent="0.25">
      <c r="A119" s="7">
        <f t="shared" si="10"/>
        <v>1.5</v>
      </c>
      <c r="B119" s="7">
        <v>1.2999999999999999E-2</v>
      </c>
      <c r="C119" s="7">
        <v>0.01</v>
      </c>
      <c r="D119" s="9">
        <f t="shared" si="11"/>
        <v>1.1800000000000008</v>
      </c>
      <c r="E119" s="3">
        <f t="shared" si="12"/>
        <v>4.3627296436619938</v>
      </c>
      <c r="F119" s="3">
        <f t="shared" si="13"/>
        <v>1.4912491260066161</v>
      </c>
      <c r="G119" s="3">
        <f t="shared" si="14"/>
        <v>3.2720472327464956</v>
      </c>
      <c r="H119" s="3">
        <f t="shared" si="15"/>
        <v>6.79350566381612</v>
      </c>
      <c r="I119" s="10">
        <f t="shared" si="16"/>
        <v>0.78666666666666718</v>
      </c>
      <c r="J119" s="11">
        <f t="shared" si="9"/>
        <v>0.96104572124582499</v>
      </c>
    </row>
    <row r="120" spans="1:10" x14ac:dyDescent="0.25">
      <c r="A120" s="7">
        <f t="shared" si="10"/>
        <v>1.5</v>
      </c>
      <c r="B120" s="7">
        <v>1.2999999999999999E-2</v>
      </c>
      <c r="C120" s="7">
        <v>0.01</v>
      </c>
      <c r="D120" s="9">
        <f t="shared" si="11"/>
        <v>1.1900000000000008</v>
      </c>
      <c r="E120" s="3">
        <f t="shared" si="12"/>
        <v>4.3954658059511553</v>
      </c>
      <c r="F120" s="3">
        <f t="shared" si="13"/>
        <v>1.5034681675712225</v>
      </c>
      <c r="G120" s="3">
        <f t="shared" si="14"/>
        <v>3.2965993544633667</v>
      </c>
      <c r="H120" s="3">
        <f t="shared" si="15"/>
        <v>6.8522983476604438</v>
      </c>
      <c r="I120" s="10">
        <f t="shared" si="16"/>
        <v>0.79333333333333389</v>
      </c>
      <c r="J120" s="11">
        <f t="shared" si="9"/>
        <v>0.96936284940398521</v>
      </c>
    </row>
    <row r="121" spans="1:10" x14ac:dyDescent="0.25">
      <c r="A121" s="7">
        <f t="shared" si="10"/>
        <v>1.5</v>
      </c>
      <c r="B121" s="7">
        <v>1.2999999999999999E-2</v>
      </c>
      <c r="C121" s="7">
        <v>0.01</v>
      </c>
      <c r="D121" s="9">
        <f t="shared" si="11"/>
        <v>1.2000000000000008</v>
      </c>
      <c r="E121" s="3">
        <f t="shared" si="12"/>
        <v>4.4285948711763652</v>
      </c>
      <c r="F121" s="3">
        <f t="shared" si="13"/>
        <v>1.5155423075183529</v>
      </c>
      <c r="G121" s="3">
        <f t="shared" si="14"/>
        <v>3.3214461533822739</v>
      </c>
      <c r="H121" s="3">
        <f t="shared" si="15"/>
        <v>6.9095846930735263</v>
      </c>
      <c r="I121" s="10">
        <f t="shared" si="16"/>
        <v>0.8000000000000006</v>
      </c>
      <c r="J121" s="11">
        <f t="shared" si="9"/>
        <v>0.97746688285438599</v>
      </c>
    </row>
    <row r="122" spans="1:10" x14ac:dyDescent="0.25">
      <c r="A122" s="7">
        <f t="shared" si="10"/>
        <v>1.5</v>
      </c>
      <c r="B122" s="7">
        <v>1.2999999999999999E-2</v>
      </c>
      <c r="C122" s="7">
        <v>0.01</v>
      </c>
      <c r="D122" s="9">
        <f t="shared" si="11"/>
        <v>1.2100000000000009</v>
      </c>
      <c r="E122" s="3">
        <f t="shared" si="12"/>
        <v>4.462140771353619</v>
      </c>
      <c r="F122" s="3">
        <f t="shared" si="13"/>
        <v>1.5274664311842114</v>
      </c>
      <c r="G122" s="3">
        <f t="shared" si="14"/>
        <v>3.3466055785152142</v>
      </c>
      <c r="H122" s="3">
        <f t="shared" si="15"/>
        <v>6.9652987989731745</v>
      </c>
      <c r="I122" s="10">
        <f t="shared" si="16"/>
        <v>0.8066666666666672</v>
      </c>
      <c r="J122" s="11">
        <f t="shared" si="9"/>
        <v>0.98534849887674125</v>
      </c>
    </row>
    <row r="123" spans="1:10" x14ac:dyDescent="0.25">
      <c r="A123" s="7">
        <f t="shared" si="10"/>
        <v>1.5</v>
      </c>
      <c r="B123" s="7">
        <v>1.2999999999999999E-2</v>
      </c>
      <c r="C123" s="7">
        <v>0.01</v>
      </c>
      <c r="D123" s="9">
        <f t="shared" si="11"/>
        <v>1.2200000000000009</v>
      </c>
      <c r="E123" s="3">
        <f t="shared" si="12"/>
        <v>4.4961294627185859</v>
      </c>
      <c r="F123" s="3">
        <f t="shared" si="13"/>
        <v>1.5392352282782087</v>
      </c>
      <c r="G123" s="3">
        <f t="shared" si="14"/>
        <v>3.3720970970389397</v>
      </c>
      <c r="H123" s="3">
        <f t="shared" si="15"/>
        <v>7.019371977125954</v>
      </c>
      <c r="I123" s="10">
        <f t="shared" si="16"/>
        <v>0.81333333333333391</v>
      </c>
      <c r="J123" s="11">
        <f t="shared" si="9"/>
        <v>0.99299798046541199</v>
      </c>
    </row>
    <row r="124" spans="1:10" x14ac:dyDescent="0.25">
      <c r="A124" s="7">
        <f t="shared" si="10"/>
        <v>1.5</v>
      </c>
      <c r="B124" s="7">
        <v>1.2999999999999999E-2</v>
      </c>
      <c r="C124" s="7">
        <v>0.01</v>
      </c>
      <c r="D124" s="9">
        <f t="shared" si="11"/>
        <v>1.2300000000000009</v>
      </c>
      <c r="E124" s="3">
        <f t="shared" si="12"/>
        <v>4.5305891848429081</v>
      </c>
      <c r="F124" s="3">
        <f t="shared" si="13"/>
        <v>1.5508431752941672</v>
      </c>
      <c r="G124" s="3">
        <f t="shared" si="14"/>
        <v>3.3979418886321811</v>
      </c>
      <c r="H124" s="3">
        <f t="shared" si="15"/>
        <v>7.0717324526187513</v>
      </c>
      <c r="I124" s="10">
        <f t="shared" si="16"/>
        <v>0.82000000000000062</v>
      </c>
      <c r="J124" s="11">
        <f t="shared" si="9"/>
        <v>1.000405173956509</v>
      </c>
    </row>
    <row r="125" spans="1:10" x14ac:dyDescent="0.25">
      <c r="A125" s="7">
        <f t="shared" si="10"/>
        <v>1.5</v>
      </c>
      <c r="B125" s="7">
        <v>1.2999999999999999E-2</v>
      </c>
      <c r="C125" s="7">
        <v>0.01</v>
      </c>
      <c r="D125" s="9">
        <f t="shared" si="11"/>
        <v>1.2400000000000009</v>
      </c>
      <c r="E125" s="3">
        <f t="shared" si="12"/>
        <v>4.5655507634149304</v>
      </c>
      <c r="F125" s="3">
        <f t="shared" si="13"/>
        <v>1.5622845157153855</v>
      </c>
      <c r="G125" s="3">
        <f t="shared" si="14"/>
        <v>3.424163072561198</v>
      </c>
      <c r="H125" s="3">
        <f t="shared" si="15"/>
        <v>7.1223050179016898</v>
      </c>
      <c r="I125" s="10">
        <f t="shared" si="16"/>
        <v>0.82666666666666722</v>
      </c>
      <c r="J125" s="11">
        <f t="shared" si="9"/>
        <v>1.0075594400869492</v>
      </c>
    </row>
    <row r="126" spans="1:10" x14ac:dyDescent="0.25">
      <c r="A126" s="7">
        <f t="shared" si="10"/>
        <v>1.5</v>
      </c>
      <c r="B126" s="7">
        <v>1.2999999999999999E-2</v>
      </c>
      <c r="C126" s="7">
        <v>0.01</v>
      </c>
      <c r="D126" s="9">
        <f t="shared" si="11"/>
        <v>1.2500000000000009</v>
      </c>
      <c r="E126" s="3">
        <f t="shared" si="12"/>
        <v>4.6010479660437289</v>
      </c>
      <c r="F126" s="3">
        <f t="shared" si="13"/>
        <v>1.5735532376372727</v>
      </c>
      <c r="G126" s="3">
        <f t="shared" si="14"/>
        <v>3.4507859745327965</v>
      </c>
      <c r="H126" s="3">
        <f t="shared" si="15"/>
        <v>7.1710106310414918</v>
      </c>
      <c r="I126" s="10">
        <f t="shared" si="16"/>
        <v>0.83333333333333393</v>
      </c>
      <c r="J126" s="11">
        <f t="shared" si="9"/>
        <v>1.0144495971612228</v>
      </c>
    </row>
    <row r="127" spans="1:10" x14ac:dyDescent="0.25">
      <c r="A127" s="7">
        <f t="shared" si="10"/>
        <v>1.5</v>
      </c>
      <c r="B127" s="7">
        <v>1.2999999999999999E-2</v>
      </c>
      <c r="C127" s="7">
        <v>0.01</v>
      </c>
      <c r="D127" s="9">
        <f t="shared" si="11"/>
        <v>1.2600000000000009</v>
      </c>
      <c r="E127" s="3">
        <f t="shared" si="12"/>
        <v>4.6371179229096375</v>
      </c>
      <c r="F127" s="3">
        <f t="shared" si="13"/>
        <v>1.584643048349633</v>
      </c>
      <c r="G127" s="3">
        <f t="shared" si="14"/>
        <v>3.4778384421822279</v>
      </c>
      <c r="H127" s="3">
        <f t="shared" si="15"/>
        <v>7.2177659464651249</v>
      </c>
      <c r="I127" s="10">
        <f t="shared" si="16"/>
        <v>0.84000000000000064</v>
      </c>
      <c r="J127" s="11">
        <f t="shared" si="9"/>
        <v>1.0210638546678754</v>
      </c>
    </row>
    <row r="128" spans="1:10" x14ac:dyDescent="0.25">
      <c r="A128" s="7">
        <f t="shared" si="10"/>
        <v>1.5</v>
      </c>
      <c r="B128" s="7">
        <v>1.2999999999999999E-2</v>
      </c>
      <c r="C128" s="7">
        <v>0.01</v>
      </c>
      <c r="D128" s="9">
        <f t="shared" si="11"/>
        <v>1.2700000000000009</v>
      </c>
      <c r="E128" s="3">
        <f t="shared" si="12"/>
        <v>4.673801627329115</v>
      </c>
      <c r="F128" s="3">
        <f t="shared" si="13"/>
        <v>1.595547345317244</v>
      </c>
      <c r="G128" s="3">
        <f t="shared" si="14"/>
        <v>3.505351220496836</v>
      </c>
      <c r="H128" s="3">
        <f t="shared" si="15"/>
        <v>7.2624827633923097</v>
      </c>
      <c r="I128" s="10">
        <f t="shared" si="16"/>
        <v>0.84666666666666723</v>
      </c>
      <c r="J128" s="11">
        <f t="shared" si="9"/>
        <v>1.0273897352518129</v>
      </c>
    </row>
    <row r="129" spans="1:10" x14ac:dyDescent="0.25">
      <c r="A129" s="7">
        <f t="shared" si="10"/>
        <v>1.5</v>
      </c>
      <c r="B129" s="7">
        <v>1.2999999999999999E-2</v>
      </c>
      <c r="C129" s="7">
        <v>0.01</v>
      </c>
      <c r="D129" s="9">
        <f t="shared" si="11"/>
        <v>1.2800000000000009</v>
      </c>
      <c r="E129" s="3">
        <f t="shared" si="12"/>
        <v>4.7111445356190487</v>
      </c>
      <c r="F129" s="3">
        <f t="shared" si="13"/>
        <v>1.6062591828649955</v>
      </c>
      <c r="G129" s="3">
        <f t="shared" si="14"/>
        <v>3.5333584017142865</v>
      </c>
      <c r="H129" s="3">
        <f t="shared" si="15"/>
        <v>7.3050673730877511</v>
      </c>
      <c r="I129" s="10">
        <f t="shared" si="16"/>
        <v>0.85333333333333394</v>
      </c>
      <c r="J129" s="11">
        <f t="shared" si="9"/>
        <v>1.0334139823731052</v>
      </c>
    </row>
    <row r="130" spans="1:10" x14ac:dyDescent="0.25">
      <c r="A130" s="7">
        <f t="shared" si="10"/>
        <v>1.5</v>
      </c>
      <c r="B130" s="7">
        <v>1.2999999999999999E-2</v>
      </c>
      <c r="C130" s="7">
        <v>0.01</v>
      </c>
      <c r="D130" s="9">
        <f t="shared" si="11"/>
        <v>1.2900000000000009</v>
      </c>
      <c r="E130" s="3">
        <f t="shared" si="12"/>
        <v>4.7491972914558573</v>
      </c>
      <c r="F130" s="3">
        <f t="shared" si="13"/>
        <v>1.6167712337028988</v>
      </c>
      <c r="G130" s="3">
        <f t="shared" si="14"/>
        <v>3.561897968591893</v>
      </c>
      <c r="H130" s="3">
        <f t="shared" si="15"/>
        <v>7.3454197806340948</v>
      </c>
      <c r="I130" s="10">
        <f t="shared" si="16"/>
        <v>0.86000000000000065</v>
      </c>
      <c r="J130" s="11">
        <f t="shared" si="9"/>
        <v>1.0391224502148171</v>
      </c>
    </row>
    <row r="131" spans="1:10" x14ac:dyDescent="0.25">
      <c r="A131" s="7">
        <f t="shared" si="10"/>
        <v>1.5</v>
      </c>
      <c r="B131" s="7">
        <v>1.2999999999999999E-2</v>
      </c>
      <c r="C131" s="7">
        <v>0.01</v>
      </c>
      <c r="D131" s="9">
        <f t="shared" si="11"/>
        <v>1.3000000000000009</v>
      </c>
      <c r="E131" s="3">
        <f t="shared" si="12"/>
        <v>4.7880166078415485</v>
      </c>
      <c r="F131" s="3">
        <f t="shared" si="13"/>
        <v>1.6270757442030386</v>
      </c>
      <c r="G131" s="3">
        <f t="shared" si="14"/>
        <v>3.5910124558811614</v>
      </c>
      <c r="H131" s="3">
        <f t="shared" si="15"/>
        <v>7.3834327695880297</v>
      </c>
      <c r="I131" s="10">
        <f t="shared" si="16"/>
        <v>0.86666666666666725</v>
      </c>
      <c r="J131" s="11">
        <f t="shared" ref="J131:J151" si="17">H131/$H$151</f>
        <v>1.0444999713642471</v>
      </c>
    </row>
    <row r="132" spans="1:10" x14ac:dyDescent="0.25">
      <c r="A132" s="7">
        <f t="shared" ref="A132:A151" si="18">A131</f>
        <v>1.5</v>
      </c>
      <c r="B132" s="7">
        <v>1.2999999999999999E-2</v>
      </c>
      <c r="C132" s="7">
        <v>0.01</v>
      </c>
      <c r="D132" s="9">
        <f t="shared" ref="D132:D150" si="19">D131+0.01</f>
        <v>1.3100000000000009</v>
      </c>
      <c r="E132" s="3">
        <f t="shared" ref="E132:E150" si="20">2*ACOS(1-2*D132/A132)</f>
        <v>4.8276663507216639</v>
      </c>
      <c r="F132" s="3">
        <f t="shared" ref="F132:F151" si="21">A132^2*(E132-SIN(E132))/8</f>
        <v>1.6371644820456357</v>
      </c>
      <c r="G132" s="3">
        <f t="shared" ref="G132:G151" si="22">A132*E132/2</f>
        <v>3.620749763041248</v>
      </c>
      <c r="H132" s="3">
        <f t="shared" ref="H132:H151" si="23">(1/B132)*F132*(F132/G132)^(2/3)*SQRT(C132)</f>
        <v>7.4189907678302704</v>
      </c>
      <c r="I132" s="10">
        <f t="shared" ref="I132:I151" si="24">D132/A132</f>
        <v>0.87333333333333396</v>
      </c>
      <c r="J132" s="11">
        <f t="shared" si="17"/>
        <v>1.0495301963699881</v>
      </c>
    </row>
    <row r="133" spans="1:10" x14ac:dyDescent="0.25">
      <c r="A133" s="7">
        <f t="shared" si="18"/>
        <v>1.5</v>
      </c>
      <c r="B133" s="7">
        <v>1.2999999999999999E-2</v>
      </c>
      <c r="C133" s="7">
        <v>0.01</v>
      </c>
      <c r="D133" s="9">
        <f t="shared" si="19"/>
        <v>1.320000000000001</v>
      </c>
      <c r="E133" s="3">
        <f t="shared" si="20"/>
        <v>4.868218883620905</v>
      </c>
      <c r="F133" s="3">
        <f t="shared" si="21"/>
        <v>1.6470286744569291</v>
      </c>
      <c r="G133" s="3">
        <f t="shared" si="22"/>
        <v>3.6511641627156788</v>
      </c>
      <c r="H133" s="3">
        <f t="shared" si="23"/>
        <v>7.4519684589507706</v>
      </c>
      <c r="I133" s="10">
        <f t="shared" si="24"/>
        <v>0.88000000000000067</v>
      </c>
      <c r="J133" s="11">
        <f t="shared" si="17"/>
        <v>1.0541953973010374</v>
      </c>
    </row>
    <row r="134" spans="1:10" x14ac:dyDescent="0.25">
      <c r="A134" s="7">
        <f t="shared" si="18"/>
        <v>1.5</v>
      </c>
      <c r="B134" s="7">
        <v>1.2999999999999999E-2</v>
      </c>
      <c r="C134" s="7">
        <v>0.01</v>
      </c>
      <c r="D134" s="9">
        <f t="shared" si="19"/>
        <v>1.330000000000001</v>
      </c>
      <c r="E134" s="3">
        <f t="shared" si="20"/>
        <v>4.9097567544804104</v>
      </c>
      <c r="F134" s="3">
        <f t="shared" si="21"/>
        <v>1.65665893472649</v>
      </c>
      <c r="G134" s="3">
        <f t="shared" si="22"/>
        <v>3.6823175658603078</v>
      </c>
      <c r="H134" s="3">
        <f t="shared" si="23"/>
        <v>7.4822290637817837</v>
      </c>
      <c r="I134" s="10">
        <f t="shared" si="24"/>
        <v>0.88666666666666727</v>
      </c>
      <c r="J134" s="11">
        <f t="shared" si="17"/>
        <v>1.0584762246432522</v>
      </c>
    </row>
    <row r="135" spans="1:10" x14ac:dyDescent="0.25">
      <c r="A135" s="7">
        <f t="shared" si="18"/>
        <v>1.5</v>
      </c>
      <c r="B135" s="7">
        <v>1.2999999999999999E-2</v>
      </c>
      <c r="C135" s="7">
        <v>0.01</v>
      </c>
      <c r="D135" s="9">
        <f t="shared" si="19"/>
        <v>1.340000000000001</v>
      </c>
      <c r="E135" s="3">
        <f t="shared" si="20"/>
        <v>4.9523748375066958</v>
      </c>
      <c r="F135" s="3">
        <f t="shared" si="21"/>
        <v>1.6660451739546074</v>
      </c>
      <c r="G135" s="3">
        <f t="shared" si="22"/>
        <v>3.7142811281300219</v>
      </c>
      <c r="H135" s="3">
        <f t="shared" si="23"/>
        <v>7.5096221883345624</v>
      </c>
      <c r="I135" s="10">
        <f t="shared" si="24"/>
        <v>0.89333333333333398</v>
      </c>
      <c r="J135" s="11">
        <f t="shared" si="17"/>
        <v>1.0623514028569425</v>
      </c>
    </row>
    <row r="136" spans="1:10" x14ac:dyDescent="0.25">
      <c r="A136" s="7">
        <f t="shared" si="18"/>
        <v>1.5</v>
      </c>
      <c r="B136" s="7">
        <v>1.2999999999999999E-2</v>
      </c>
      <c r="C136" s="7">
        <v>0.01</v>
      </c>
      <c r="D136" s="9">
        <f t="shared" si="19"/>
        <v>1.350000000000001</v>
      </c>
      <c r="E136" s="3">
        <f t="shared" si="20"/>
        <v>4.9961830895930222</v>
      </c>
      <c r="F136" s="3">
        <f t="shared" si="21"/>
        <v>1.6751764939480371</v>
      </c>
      <c r="G136" s="3">
        <f t="shared" si="22"/>
        <v>3.7471373171947668</v>
      </c>
      <c r="H136" s="3">
        <f t="shared" si="23"/>
        <v>7.5339810928318176</v>
      </c>
      <c r="I136" s="10">
        <f t="shared" si="24"/>
        <v>0.90000000000000069</v>
      </c>
      <c r="J136" s="11">
        <f t="shared" si="17"/>
        <v>1.0657973440395649</v>
      </c>
    </row>
    <row r="137" spans="1:10" x14ac:dyDescent="0.25">
      <c r="A137" s="7">
        <f t="shared" si="18"/>
        <v>1.5</v>
      </c>
      <c r="B137" s="7">
        <v>1.2999999999999999E-2</v>
      </c>
      <c r="C137" s="7">
        <v>0.01</v>
      </c>
      <c r="D137" s="9">
        <f t="shared" si="19"/>
        <v>1.360000000000001</v>
      </c>
      <c r="E137" s="3">
        <f t="shared" si="20"/>
        <v>5.0413101515084158</v>
      </c>
      <c r="F137" s="3">
        <f t="shared" si="21"/>
        <v>1.6840410557088532</v>
      </c>
      <c r="G137" s="3">
        <f t="shared" si="22"/>
        <v>3.7809826136313118</v>
      </c>
      <c r="H137" s="3">
        <f t="shared" si="23"/>
        <v>7.555119174267503</v>
      </c>
      <c r="I137" s="10">
        <f t="shared" si="24"/>
        <v>0.90666666666666729</v>
      </c>
      <c r="J137" s="11">
        <f t="shared" si="17"/>
        <v>1.0687876503297786</v>
      </c>
    </row>
    <row r="138" spans="1:10" x14ac:dyDescent="0.25">
      <c r="A138" s="7">
        <f t="shared" si="18"/>
        <v>1.5</v>
      </c>
      <c r="B138" s="7">
        <v>1.2999999999999999E-2</v>
      </c>
      <c r="C138" s="7">
        <v>0.01</v>
      </c>
      <c r="D138" s="9">
        <f t="shared" si="19"/>
        <v>1.370000000000001</v>
      </c>
      <c r="E138" s="3">
        <f t="shared" si="20"/>
        <v>5.0879081334133129</v>
      </c>
      <c r="F138" s="3">
        <f t="shared" si="21"/>
        <v>1.6926259158130077</v>
      </c>
      <c r="G138" s="3">
        <f t="shared" si="22"/>
        <v>3.8159311000599847</v>
      </c>
      <c r="H138" s="3">
        <f t="shared" si="23"/>
        <v>7.5728253593584229</v>
      </c>
      <c r="I138" s="10">
        <f t="shared" si="24"/>
        <v>0.913333333333334</v>
      </c>
      <c r="J138" s="11">
        <f t="shared" si="17"/>
        <v>1.0712924621696875</v>
      </c>
    </row>
    <row r="139" spans="1:10" x14ac:dyDescent="0.25">
      <c r="A139" s="7">
        <f t="shared" si="18"/>
        <v>1.5</v>
      </c>
      <c r="B139" s="7">
        <v>1.2999999999999999E-2</v>
      </c>
      <c r="C139" s="7">
        <v>0.01</v>
      </c>
      <c r="D139" s="9">
        <f t="shared" si="19"/>
        <v>1.380000000000001</v>
      </c>
      <c r="E139" s="3">
        <f t="shared" si="20"/>
        <v>5.1361590983333985</v>
      </c>
      <c r="F139" s="3">
        <f t="shared" si="21"/>
        <v>1.7009168197684028</v>
      </c>
      <c r="G139" s="3">
        <f t="shared" si="22"/>
        <v>3.8521193237500491</v>
      </c>
      <c r="H139" s="3">
        <f t="shared" si="23"/>
        <v>7.5868579539650973</v>
      </c>
      <c r="I139" s="10">
        <f t="shared" si="24"/>
        <v>0.92000000000000071</v>
      </c>
      <c r="J139" s="11">
        <f t="shared" si="17"/>
        <v>1.0732775882109524</v>
      </c>
    </row>
    <row r="140" spans="1:10" x14ac:dyDescent="0.25">
      <c r="A140" s="7">
        <f t="shared" si="18"/>
        <v>1.5</v>
      </c>
      <c r="B140" s="7">
        <v>1.2999999999999999E-2</v>
      </c>
      <c r="C140" s="7">
        <v>0.01</v>
      </c>
      <c r="D140" s="9">
        <f t="shared" si="19"/>
        <v>1.390000000000001</v>
      </c>
      <c r="E140" s="3">
        <f t="shared" si="20"/>
        <v>5.1862840431459691</v>
      </c>
      <c r="F140" s="3">
        <f t="shared" si="21"/>
        <v>1.7088979365238228</v>
      </c>
      <c r="G140" s="3">
        <f t="shared" si="22"/>
        <v>3.8897130323594769</v>
      </c>
      <c r="H140" s="3">
        <f t="shared" si="23"/>
        <v>7.596936249564898</v>
      </c>
      <c r="I140" s="10">
        <f t="shared" si="24"/>
        <v>0.9266666666666673</v>
      </c>
      <c r="J140" s="11">
        <f t="shared" si="17"/>
        <v>1.0747033179214946</v>
      </c>
    </row>
    <row r="141" spans="1:10" x14ac:dyDescent="0.25">
      <c r="A141" s="7">
        <f t="shared" si="18"/>
        <v>1.5</v>
      </c>
      <c r="B141" s="7">
        <v>1.2999999999999999E-2</v>
      </c>
      <c r="C141" s="7">
        <v>0.01</v>
      </c>
      <c r="D141" s="9">
        <f t="shared" si="19"/>
        <v>1.400000000000001</v>
      </c>
      <c r="E141" s="3">
        <f t="shared" si="20"/>
        <v>5.2385556635674941</v>
      </c>
      <c r="F141" s="3">
        <f t="shared" si="21"/>
        <v>1.7165515105186631</v>
      </c>
      <c r="G141" s="3">
        <f t="shared" si="22"/>
        <v>3.9289167476756206</v>
      </c>
      <c r="H141" s="3">
        <f t="shared" si="23"/>
        <v>7.6027287729997912</v>
      </c>
      <c r="I141" s="10">
        <f t="shared" si="24"/>
        <v>0.93333333333333401</v>
      </c>
      <c r="J141" s="11">
        <f t="shared" si="17"/>
        <v>1.0755227593318362</v>
      </c>
    </row>
    <row r="142" spans="1:10" x14ac:dyDescent="0.25">
      <c r="A142" s="7">
        <f t="shared" si="18"/>
        <v>1.5</v>
      </c>
      <c r="B142" s="7">
        <v>1.2999999999999999E-2</v>
      </c>
      <c r="C142" s="7">
        <v>0.01</v>
      </c>
      <c r="D142" s="9">
        <f t="shared" si="19"/>
        <v>1.410000000000001</v>
      </c>
      <c r="E142" s="3">
        <f t="shared" si="20"/>
        <v>5.2933170544978019</v>
      </c>
      <c r="F142" s="3">
        <f t="shared" si="21"/>
        <v>1.7238573949008564</v>
      </c>
      <c r="G142" s="3">
        <f t="shared" si="22"/>
        <v>3.9699877908733514</v>
      </c>
      <c r="H142" s="3">
        <f t="shared" si="23"/>
        <v>7.6038363363891079</v>
      </c>
      <c r="I142" s="10">
        <f t="shared" si="24"/>
        <v>0.94000000000000072</v>
      </c>
      <c r="J142" s="11">
        <f t="shared" si="17"/>
        <v>1.0756794411849153</v>
      </c>
    </row>
    <row r="143" spans="1:10" x14ac:dyDescent="0.25">
      <c r="A143" s="7">
        <f t="shared" si="18"/>
        <v>1.5</v>
      </c>
      <c r="B143" s="7">
        <v>1.2999999999999999E-2</v>
      </c>
      <c r="C143" s="7">
        <v>0.01</v>
      </c>
      <c r="D143" s="9">
        <f t="shared" si="19"/>
        <v>1.420000000000001</v>
      </c>
      <c r="E143" s="3">
        <f t="shared" si="20"/>
        <v>5.3510101112219282</v>
      </c>
      <c r="F143" s="3">
        <f t="shared" si="21"/>
        <v>1.7307924077022929</v>
      </c>
      <c r="G143" s="3">
        <f t="shared" si="22"/>
        <v>4.0132575834164461</v>
      </c>
      <c r="H143" s="3">
        <f t="shared" si="23"/>
        <v>7.5997666953414003</v>
      </c>
      <c r="I143" s="10">
        <f t="shared" si="24"/>
        <v>0.94666666666666732</v>
      </c>
      <c r="J143" s="11">
        <f t="shared" si="17"/>
        <v>1.0751037279509164</v>
      </c>
    </row>
    <row r="144" spans="1:10" x14ac:dyDescent="0.25">
      <c r="A144" s="7">
        <f t="shared" si="18"/>
        <v>1.5</v>
      </c>
      <c r="B144" s="7">
        <v>1.2999999999999999E-2</v>
      </c>
      <c r="C144" s="7">
        <v>0.01</v>
      </c>
      <c r="D144" s="9">
        <f t="shared" si="19"/>
        <v>1.430000000000001</v>
      </c>
      <c r="E144" s="3">
        <f t="shared" si="20"/>
        <v>5.4122205937312708</v>
      </c>
      <c r="F144" s="3">
        <f t="shared" si="21"/>
        <v>1.7373294134528854</v>
      </c>
      <c r="G144" s="3">
        <f t="shared" si="22"/>
        <v>4.0591654452984534</v>
      </c>
      <c r="H144" s="3">
        <f t="shared" si="23"/>
        <v>7.5898949772009763</v>
      </c>
      <c r="I144" s="10">
        <f t="shared" si="24"/>
        <v>0.95333333333333403</v>
      </c>
      <c r="J144" s="11">
        <f t="shared" si="17"/>
        <v>1.0737072217949373</v>
      </c>
    </row>
    <row r="145" spans="1:10" x14ac:dyDescent="0.25">
      <c r="A145" s="7">
        <f t="shared" si="18"/>
        <v>1.5</v>
      </c>
      <c r="B145" s="7">
        <v>1.2999999999999999E-2</v>
      </c>
      <c r="C145" s="7">
        <v>0.01</v>
      </c>
      <c r="D145" s="9">
        <f t="shared" si="19"/>
        <v>1.4400000000000011</v>
      </c>
      <c r="E145" s="3">
        <f t="shared" si="20"/>
        <v>5.4777536240182707</v>
      </c>
      <c r="F145" s="3">
        <f t="shared" si="21"/>
        <v>1.7434359574575844</v>
      </c>
      <c r="G145" s="3">
        <f t="shared" si="22"/>
        <v>4.1083152180137033</v>
      </c>
      <c r="H145" s="3">
        <f t="shared" si="23"/>
        <v>7.5733984586587191</v>
      </c>
      <c r="I145" s="10">
        <f t="shared" si="24"/>
        <v>0.96000000000000074</v>
      </c>
      <c r="J145" s="11">
        <f t="shared" si="17"/>
        <v>1.0713735358682541</v>
      </c>
    </row>
    <row r="146" spans="1:10" x14ac:dyDescent="0.25">
      <c r="A146" s="7">
        <f t="shared" si="18"/>
        <v>1.5</v>
      </c>
      <c r="B146" s="7">
        <v>1.2999999999999999E-2</v>
      </c>
      <c r="C146" s="7">
        <v>0.01</v>
      </c>
      <c r="D146" s="9">
        <f t="shared" si="19"/>
        <v>1.4500000000000011</v>
      </c>
      <c r="E146" s="3">
        <f t="shared" si="20"/>
        <v>5.5487692660639194</v>
      </c>
      <c r="F146" s="3">
        <f t="shared" si="21"/>
        <v>1.7490721243301834</v>
      </c>
      <c r="G146" s="3">
        <f t="shared" si="22"/>
        <v>4.1615769495479391</v>
      </c>
      <c r="H146" s="3">
        <f t="shared" si="23"/>
        <v>7.5491413756443055</v>
      </c>
      <c r="I146" s="10">
        <f t="shared" si="24"/>
        <v>0.96666666666666734</v>
      </c>
      <c r="J146" s="11">
        <f t="shared" si="17"/>
        <v>1.0679419988983105</v>
      </c>
    </row>
    <row r="147" spans="1:10" x14ac:dyDescent="0.25">
      <c r="A147" s="7">
        <f t="shared" si="18"/>
        <v>1.5</v>
      </c>
      <c r="B147" s="7">
        <v>1.2999999999999999E-2</v>
      </c>
      <c r="C147" s="7">
        <v>0.01</v>
      </c>
      <c r="D147" s="9">
        <f t="shared" si="19"/>
        <v>1.4600000000000011</v>
      </c>
      <c r="E147" s="3">
        <f t="shared" si="20"/>
        <v>5.6270495430876943</v>
      </c>
      <c r="F147" s="3">
        <f t="shared" si="21"/>
        <v>1.7541869368184551</v>
      </c>
      <c r="G147" s="3">
        <f t="shared" si="22"/>
        <v>4.220287157315771</v>
      </c>
      <c r="H147" s="3">
        <f t="shared" si="23"/>
        <v>7.5154519143535525</v>
      </c>
      <c r="I147" s="10">
        <f t="shared" si="24"/>
        <v>0.97333333333333405</v>
      </c>
      <c r="J147" s="11">
        <f t="shared" si="17"/>
        <v>1.063176107144219</v>
      </c>
    </row>
    <row r="148" spans="1:10" x14ac:dyDescent="0.25">
      <c r="A148" s="7">
        <f t="shared" si="18"/>
        <v>1.5</v>
      </c>
      <c r="B148" s="7">
        <v>1.2999999999999999E-2</v>
      </c>
      <c r="C148" s="7">
        <v>0.01</v>
      </c>
      <c r="D148" s="9">
        <f t="shared" si="19"/>
        <v>1.4700000000000011</v>
      </c>
      <c r="E148" s="3">
        <f t="shared" si="20"/>
        <v>5.7155970887629417</v>
      </c>
      <c r="F148" s="3">
        <f t="shared" si="21"/>
        <v>1.7587116812145747</v>
      </c>
      <c r="G148" s="3">
        <f t="shared" si="22"/>
        <v>4.2866978165722065</v>
      </c>
      <c r="H148" s="3">
        <f t="shared" si="23"/>
        <v>7.4696309986138125</v>
      </c>
      <c r="I148" s="10">
        <f t="shared" si="24"/>
        <v>0.98000000000000076</v>
      </c>
      <c r="J148" s="11">
        <f t="shared" si="17"/>
        <v>1.0566940348247995</v>
      </c>
    </row>
    <row r="149" spans="1:10" x14ac:dyDescent="0.25">
      <c r="A149" s="7">
        <f t="shared" si="18"/>
        <v>1.5</v>
      </c>
      <c r="B149" s="7">
        <v>1.2999999999999999E-2</v>
      </c>
      <c r="C149" s="7">
        <v>0.01</v>
      </c>
      <c r="D149" s="9">
        <f t="shared" si="19"/>
        <v>1.4800000000000011</v>
      </c>
      <c r="E149" s="3">
        <f t="shared" si="20"/>
        <v>5.8202724836223476</v>
      </c>
      <c r="F149" s="3">
        <f t="shared" si="21"/>
        <v>1.7625455849176046</v>
      </c>
      <c r="G149" s="3">
        <f t="shared" si="22"/>
        <v>4.3652043627167609</v>
      </c>
      <c r="H149" s="3">
        <f t="shared" si="23"/>
        <v>7.4066335375577168</v>
      </c>
      <c r="I149" s="10">
        <f t="shared" si="24"/>
        <v>0.98666666666666736</v>
      </c>
      <c r="J149" s="11">
        <f t="shared" si="17"/>
        <v>1.0477820763466046</v>
      </c>
    </row>
    <row r="150" spans="1:10" x14ac:dyDescent="0.25">
      <c r="A150" s="7">
        <f t="shared" si="18"/>
        <v>1.5</v>
      </c>
      <c r="B150" s="7">
        <v>1.2999999999999999E-2</v>
      </c>
      <c r="C150" s="7">
        <v>0.01</v>
      </c>
      <c r="D150" s="9">
        <f t="shared" si="19"/>
        <v>1.4900000000000011</v>
      </c>
      <c r="E150" s="3">
        <f t="shared" si="20"/>
        <v>5.9562226944373204</v>
      </c>
      <c r="F150" s="3">
        <f t="shared" si="21"/>
        <v>1.7655161443669209</v>
      </c>
      <c r="G150" s="3">
        <f t="shared" si="22"/>
        <v>4.4671670208279899</v>
      </c>
      <c r="H150" s="3">
        <f t="shared" si="23"/>
        <v>7.313995286645202</v>
      </c>
      <c r="I150" s="10">
        <f t="shared" si="24"/>
        <v>0.99333333333333407</v>
      </c>
      <c r="J150" s="11">
        <f t="shared" si="17"/>
        <v>1.0346769728744218</v>
      </c>
    </row>
    <row r="151" spans="1:10" x14ac:dyDescent="0.25">
      <c r="A151" s="7">
        <f t="shared" si="18"/>
        <v>1.5</v>
      </c>
      <c r="B151" s="7">
        <v>1.2999999999999999E-2</v>
      </c>
      <c r="C151" s="7">
        <v>0.01</v>
      </c>
      <c r="D151" s="9">
        <v>1.5000000000000011</v>
      </c>
      <c r="E151" s="3">
        <f>2*PI()</f>
        <v>6.2831853071795862</v>
      </c>
      <c r="F151" s="3">
        <f t="shared" si="21"/>
        <v>1.7671458676442586</v>
      </c>
      <c r="G151" s="3">
        <f t="shared" si="22"/>
        <v>4.7123889803846897</v>
      </c>
      <c r="H151" s="3">
        <f t="shared" si="23"/>
        <v>7.0688683312689298</v>
      </c>
      <c r="I151" s="10">
        <f t="shared" si="24"/>
        <v>1.0000000000000007</v>
      </c>
      <c r="J151" s="11">
        <f t="shared" si="17"/>
        <v>1</v>
      </c>
    </row>
    <row r="152" spans="1:10" x14ac:dyDescent="0.25">
      <c r="A152" s="7"/>
      <c r="B152" s="7"/>
      <c r="C152" s="7"/>
      <c r="D152" s="9"/>
      <c r="E152" s="3"/>
      <c r="F152" s="3"/>
      <c r="G152" s="3"/>
      <c r="H152" s="3"/>
      <c r="I152" s="10"/>
      <c r="J152" s="11"/>
    </row>
    <row r="153" spans="1:10" x14ac:dyDescent="0.25">
      <c r="A153" s="7"/>
      <c r="B153" s="7"/>
      <c r="C153" s="7"/>
      <c r="D153" s="9"/>
      <c r="E153" s="3"/>
      <c r="F153" s="3"/>
      <c r="G153" s="3"/>
      <c r="H153" s="3"/>
      <c r="I153" s="10"/>
      <c r="J153" s="11"/>
    </row>
    <row r="154" spans="1:10" x14ac:dyDescent="0.25">
      <c r="A154" s="7"/>
      <c r="B154" s="7"/>
      <c r="C154" s="7"/>
      <c r="D154" s="9"/>
      <c r="E154" s="3"/>
      <c r="F154" s="3"/>
      <c r="G154" s="3"/>
      <c r="H154" s="3"/>
      <c r="I154" s="10"/>
      <c r="J154" s="11"/>
    </row>
    <row r="155" spans="1:10" x14ac:dyDescent="0.25">
      <c r="A155" s="7"/>
      <c r="B155" s="7"/>
      <c r="C155" s="7"/>
      <c r="D155" s="9"/>
      <c r="E155" s="3"/>
      <c r="F155" s="3"/>
      <c r="G155" s="3"/>
      <c r="H155" s="3"/>
      <c r="I155" s="10"/>
      <c r="J155" s="11"/>
    </row>
    <row r="156" spans="1:10" x14ac:dyDescent="0.25">
      <c r="A156" s="7"/>
      <c r="B156" s="7"/>
      <c r="C156" s="7"/>
      <c r="D156" s="9"/>
      <c r="E156" s="3"/>
      <c r="F156" s="3"/>
      <c r="G156" s="3"/>
      <c r="H156" s="3"/>
      <c r="I156" s="10"/>
      <c r="J156" s="11"/>
    </row>
    <row r="157" spans="1:10" x14ac:dyDescent="0.25">
      <c r="A157" s="7"/>
      <c r="B157" s="7"/>
      <c r="C157" s="7"/>
      <c r="D157" s="9"/>
      <c r="E157" s="3"/>
      <c r="F157" s="3"/>
      <c r="G157" s="3"/>
      <c r="H157" s="3"/>
      <c r="I157" s="10"/>
      <c r="J157" s="11"/>
    </row>
    <row r="158" spans="1:10" x14ac:dyDescent="0.25">
      <c r="A158" s="7"/>
      <c r="B158" s="7"/>
      <c r="C158" s="7"/>
      <c r="D158" s="9"/>
      <c r="E158" s="3"/>
      <c r="F158" s="3"/>
      <c r="G158" s="3"/>
      <c r="H158" s="3"/>
      <c r="I158" s="10"/>
      <c r="J158" s="11"/>
    </row>
    <row r="159" spans="1:10" x14ac:dyDescent="0.25">
      <c r="A159" s="7"/>
      <c r="B159" s="7"/>
      <c r="C159" s="7"/>
      <c r="D159" s="9"/>
      <c r="E159" s="3"/>
      <c r="F159" s="3"/>
      <c r="G159" s="3"/>
      <c r="H159" s="3"/>
      <c r="I159" s="10"/>
      <c r="J159" s="11"/>
    </row>
    <row r="160" spans="1:10" x14ac:dyDescent="0.25">
      <c r="A160" s="7"/>
      <c r="B160" s="7"/>
      <c r="C160" s="7"/>
      <c r="D160" s="9"/>
      <c r="E160" s="3"/>
      <c r="F160" s="3"/>
      <c r="G160" s="3"/>
      <c r="H160" s="3"/>
      <c r="I160" s="10"/>
      <c r="J160" s="11"/>
    </row>
    <row r="161" spans="1:10" x14ac:dyDescent="0.25">
      <c r="A161" s="7"/>
      <c r="B161" s="7"/>
      <c r="C161" s="7"/>
      <c r="D161" s="9"/>
      <c r="E161" s="3"/>
      <c r="F161" s="3"/>
      <c r="G161" s="3"/>
      <c r="H161" s="3"/>
      <c r="I161" s="10"/>
      <c r="J161" s="11"/>
    </row>
    <row r="162" spans="1:10" x14ac:dyDescent="0.25">
      <c r="A162" s="7"/>
      <c r="B162" s="7"/>
      <c r="C162" s="7"/>
      <c r="D162" s="9"/>
      <c r="E162" s="3"/>
      <c r="F162" s="3"/>
      <c r="G162" s="3"/>
      <c r="H162" s="3"/>
      <c r="I162" s="10"/>
      <c r="J162" s="11"/>
    </row>
    <row r="163" spans="1:10" x14ac:dyDescent="0.25">
      <c r="A163" s="7"/>
      <c r="B163" s="7"/>
      <c r="C163" s="7"/>
      <c r="D163" s="9"/>
      <c r="E163" s="3"/>
      <c r="F163" s="3"/>
      <c r="G163" s="3"/>
      <c r="H163" s="3"/>
      <c r="I163" s="10"/>
      <c r="J163" s="11"/>
    </row>
    <row r="164" spans="1:10" x14ac:dyDescent="0.25">
      <c r="A164" s="7"/>
      <c r="B164" s="7"/>
      <c r="C164" s="7"/>
      <c r="D164" s="9"/>
      <c r="E164" s="3"/>
      <c r="F164" s="3"/>
      <c r="G164" s="3"/>
      <c r="H164" s="3"/>
      <c r="I164" s="10"/>
      <c r="J164" s="11"/>
    </row>
    <row r="165" spans="1:10" x14ac:dyDescent="0.25">
      <c r="A165" s="7"/>
      <c r="B165" s="7"/>
      <c r="C165" s="7"/>
      <c r="D165" s="9"/>
      <c r="E165" s="3"/>
      <c r="F165" s="3"/>
      <c r="G165" s="3"/>
      <c r="H165" s="3"/>
      <c r="I165" s="10"/>
      <c r="J165" s="11"/>
    </row>
    <row r="166" spans="1:10" x14ac:dyDescent="0.25">
      <c r="A166" s="7"/>
      <c r="B166" s="7"/>
      <c r="C166" s="7"/>
      <c r="D166" s="9"/>
      <c r="E166" s="3"/>
      <c r="F166" s="3"/>
      <c r="G166" s="3"/>
      <c r="H166" s="3"/>
      <c r="I166" s="10"/>
      <c r="J166" s="11"/>
    </row>
    <row r="167" spans="1:10" x14ac:dyDescent="0.25">
      <c r="A167" s="7"/>
      <c r="B167" s="7"/>
      <c r="C167" s="7"/>
      <c r="D167" s="9"/>
      <c r="E167" s="3"/>
      <c r="F167" s="3"/>
      <c r="G167" s="3"/>
      <c r="H167" s="3"/>
      <c r="I167" s="10"/>
      <c r="J167" s="11"/>
    </row>
    <row r="168" spans="1:10" x14ac:dyDescent="0.25">
      <c r="A168" s="7"/>
      <c r="B168" s="7"/>
      <c r="C168" s="7"/>
      <c r="D168" s="9"/>
      <c r="E168" s="3"/>
      <c r="F168" s="3"/>
      <c r="G168" s="3"/>
      <c r="H168" s="3"/>
      <c r="I168" s="10"/>
      <c r="J168" s="11"/>
    </row>
    <row r="169" spans="1:10" x14ac:dyDescent="0.25">
      <c r="A169" s="7"/>
      <c r="B169" s="7"/>
      <c r="C169" s="7"/>
      <c r="D169" s="9"/>
      <c r="E169" s="3"/>
      <c r="F169" s="3"/>
      <c r="G169" s="3"/>
      <c r="H169" s="3"/>
      <c r="I169" s="10"/>
      <c r="J169" s="11"/>
    </row>
    <row r="170" spans="1:10" x14ac:dyDescent="0.25">
      <c r="A170" s="7"/>
      <c r="B170" s="7"/>
      <c r="C170" s="7"/>
      <c r="D170" s="9"/>
      <c r="E170" s="3"/>
      <c r="F170" s="3"/>
      <c r="G170" s="3"/>
      <c r="H170" s="3"/>
      <c r="I170" s="10"/>
      <c r="J170" s="11"/>
    </row>
    <row r="171" spans="1:10" x14ac:dyDescent="0.25">
      <c r="A171" s="7"/>
      <c r="B171" s="7"/>
      <c r="C171" s="7"/>
      <c r="D171" s="9"/>
      <c r="E171" s="3"/>
      <c r="F171" s="3"/>
      <c r="G171" s="3"/>
      <c r="H171" s="3"/>
      <c r="I171" s="10"/>
      <c r="J171" s="11"/>
    </row>
    <row r="172" spans="1:10" x14ac:dyDescent="0.25">
      <c r="A172" s="7"/>
      <c r="B172" s="7"/>
      <c r="C172" s="7"/>
      <c r="D172" s="9"/>
      <c r="E172" s="3"/>
      <c r="F172" s="3"/>
      <c r="G172" s="3"/>
      <c r="H172" s="3"/>
      <c r="I172" s="10"/>
      <c r="J172" s="11"/>
    </row>
    <row r="173" spans="1:10" x14ac:dyDescent="0.25">
      <c r="A173" s="7"/>
      <c r="B173" s="7"/>
      <c r="C173" s="7"/>
      <c r="D173" s="9"/>
      <c r="E173" s="3"/>
      <c r="F173" s="3"/>
      <c r="G173" s="3"/>
      <c r="H173" s="3"/>
      <c r="I173" s="10"/>
      <c r="J173" s="11"/>
    </row>
    <row r="174" spans="1:10" x14ac:dyDescent="0.25">
      <c r="A174" s="7"/>
      <c r="B174" s="7"/>
      <c r="C174" s="7"/>
      <c r="D174" s="9"/>
      <c r="E174" s="3"/>
      <c r="F174" s="3"/>
      <c r="G174" s="3"/>
      <c r="H174" s="3"/>
      <c r="I174" s="10"/>
      <c r="J174" s="11"/>
    </row>
    <row r="175" spans="1:10" x14ac:dyDescent="0.25">
      <c r="A175" s="7"/>
      <c r="B175" s="7"/>
      <c r="C175" s="7"/>
      <c r="D175" s="9"/>
      <c r="E175" s="3"/>
      <c r="F175" s="3"/>
      <c r="G175" s="3"/>
      <c r="H175" s="3"/>
      <c r="I175" s="10"/>
      <c r="J175" s="11"/>
    </row>
    <row r="176" spans="1:10" x14ac:dyDescent="0.25">
      <c r="A176" s="7"/>
      <c r="B176" s="7"/>
      <c r="C176" s="7"/>
      <c r="D176" s="9"/>
      <c r="E176" s="3"/>
      <c r="F176" s="3"/>
      <c r="G176" s="3"/>
      <c r="H176" s="3"/>
      <c r="I176" s="10"/>
      <c r="J176" s="11"/>
    </row>
    <row r="177" spans="1:10" x14ac:dyDescent="0.25">
      <c r="A177" s="7"/>
      <c r="B177" s="7"/>
      <c r="C177" s="7"/>
      <c r="D177" s="9"/>
      <c r="E177" s="3"/>
      <c r="F177" s="3"/>
      <c r="G177" s="3"/>
      <c r="H177" s="3"/>
      <c r="I177" s="10"/>
      <c r="J177" s="11"/>
    </row>
    <row r="178" spans="1:10" x14ac:dyDescent="0.25">
      <c r="A178" s="7"/>
      <c r="B178" s="7"/>
      <c r="C178" s="7"/>
      <c r="D178" s="9"/>
      <c r="E178" s="3"/>
      <c r="F178" s="3"/>
      <c r="G178" s="3"/>
      <c r="H178" s="3"/>
      <c r="I178" s="10"/>
      <c r="J178" s="11"/>
    </row>
    <row r="179" spans="1:10" x14ac:dyDescent="0.25">
      <c r="A179" s="7"/>
      <c r="B179" s="7"/>
      <c r="C179" s="7"/>
      <c r="D179" s="9"/>
      <c r="E179" s="3"/>
      <c r="F179" s="3"/>
      <c r="G179" s="3"/>
      <c r="H179" s="3"/>
      <c r="I179" s="10"/>
      <c r="J179" s="11"/>
    </row>
    <row r="180" spans="1:10" x14ac:dyDescent="0.25">
      <c r="A180" s="7"/>
      <c r="B180" s="7"/>
      <c r="C180" s="7"/>
      <c r="D180" s="9"/>
      <c r="E180" s="3"/>
      <c r="F180" s="3"/>
      <c r="G180" s="3"/>
      <c r="H180" s="3"/>
      <c r="I180" s="10"/>
      <c r="J180" s="11"/>
    </row>
    <row r="181" spans="1:10" x14ac:dyDescent="0.25">
      <c r="A181" s="7"/>
      <c r="B181" s="7"/>
      <c r="C181" s="7"/>
      <c r="D181" s="9"/>
      <c r="E181" s="3"/>
      <c r="F181" s="3"/>
      <c r="G181" s="3"/>
      <c r="H181" s="3"/>
      <c r="I181" s="10"/>
      <c r="J181" s="11"/>
    </row>
    <row r="182" spans="1:10" x14ac:dyDescent="0.25">
      <c r="A182" s="7"/>
      <c r="B182" s="7"/>
      <c r="C182" s="7"/>
      <c r="D182" s="9"/>
      <c r="E182" s="3"/>
      <c r="F182" s="3"/>
      <c r="G182" s="3"/>
      <c r="H182" s="3"/>
      <c r="I182" s="10"/>
      <c r="J182" s="11"/>
    </row>
    <row r="183" spans="1:10" x14ac:dyDescent="0.25">
      <c r="A183" s="7"/>
      <c r="B183" s="7"/>
      <c r="C183" s="7"/>
      <c r="D183" s="9"/>
      <c r="E183" s="3"/>
      <c r="F183" s="3"/>
      <c r="G183" s="3"/>
      <c r="H183" s="3"/>
      <c r="I183" s="10"/>
      <c r="J183" s="11"/>
    </row>
    <row r="184" spans="1:10" x14ac:dyDescent="0.25">
      <c r="A184" s="7"/>
      <c r="B184" s="7"/>
      <c r="C184" s="7"/>
      <c r="D184" s="9"/>
      <c r="E184" s="3"/>
      <c r="F184" s="3"/>
      <c r="G184" s="3"/>
      <c r="H184" s="3"/>
      <c r="I184" s="10"/>
      <c r="J184" s="11"/>
    </row>
    <row r="185" spans="1:10" x14ac:dyDescent="0.25">
      <c r="A185" s="7"/>
      <c r="B185" s="7"/>
      <c r="C185" s="7"/>
      <c r="D185" s="9"/>
      <c r="E185" s="3"/>
      <c r="F185" s="3"/>
      <c r="G185" s="3"/>
      <c r="H185" s="3"/>
      <c r="I185" s="10"/>
      <c r="J185" s="11"/>
    </row>
    <row r="186" spans="1:10" x14ac:dyDescent="0.25">
      <c r="A186" s="7"/>
      <c r="B186" s="7"/>
      <c r="C186" s="7"/>
      <c r="D186" s="9"/>
      <c r="E186" s="3"/>
      <c r="F186" s="3"/>
      <c r="G186" s="3"/>
      <c r="H186" s="3"/>
      <c r="I186" s="10"/>
      <c r="J186" s="11"/>
    </row>
    <row r="187" spans="1:10" x14ac:dyDescent="0.25">
      <c r="A187" s="7"/>
      <c r="B187" s="7"/>
      <c r="C187" s="7"/>
      <c r="D187" s="9"/>
      <c r="E187" s="3"/>
      <c r="F187" s="3"/>
      <c r="G187" s="3"/>
      <c r="H187" s="3"/>
      <c r="I187" s="10"/>
      <c r="J187" s="11"/>
    </row>
    <row r="188" spans="1:10" x14ac:dyDescent="0.25">
      <c r="A188" s="7"/>
      <c r="B188" s="7"/>
      <c r="C188" s="7"/>
      <c r="D188" s="9"/>
      <c r="E188" s="3"/>
      <c r="F188" s="3"/>
      <c r="G188" s="3"/>
      <c r="H188" s="3"/>
      <c r="I188" s="10"/>
      <c r="J188" s="11"/>
    </row>
    <row r="189" spans="1:10" x14ac:dyDescent="0.25">
      <c r="A189" s="7"/>
      <c r="B189" s="7"/>
      <c r="C189" s="7"/>
      <c r="D189" s="9"/>
      <c r="E189" s="3"/>
      <c r="F189" s="3"/>
      <c r="G189" s="3"/>
      <c r="H189" s="3"/>
      <c r="I189" s="10"/>
      <c r="J189" s="11"/>
    </row>
    <row r="190" spans="1:10" x14ac:dyDescent="0.25">
      <c r="A190" s="7"/>
      <c r="B190" s="7"/>
      <c r="C190" s="7"/>
      <c r="D190" s="9"/>
      <c r="E190" s="3"/>
      <c r="F190" s="3"/>
      <c r="G190" s="3"/>
      <c r="H190" s="3"/>
      <c r="I190" s="10"/>
      <c r="J190" s="11"/>
    </row>
    <row r="191" spans="1:10" x14ac:dyDescent="0.25">
      <c r="A191" s="7"/>
      <c r="B191" s="7"/>
      <c r="C191" s="7"/>
      <c r="D191" s="9"/>
      <c r="E191" s="3"/>
      <c r="F191" s="3"/>
      <c r="G191" s="3"/>
      <c r="H191" s="3"/>
      <c r="I191" s="10"/>
      <c r="J191" s="11"/>
    </row>
    <row r="192" spans="1:10" x14ac:dyDescent="0.25">
      <c r="A192" s="7"/>
      <c r="B192" s="7"/>
      <c r="C192" s="7"/>
      <c r="D192" s="9"/>
      <c r="E192" s="3"/>
      <c r="F192" s="3"/>
      <c r="G192" s="3"/>
      <c r="H192" s="3"/>
      <c r="I192" s="10"/>
      <c r="J192" s="11"/>
    </row>
    <row r="193" spans="1:10" x14ac:dyDescent="0.25">
      <c r="A193" s="7"/>
      <c r="B193" s="7"/>
      <c r="C193" s="7"/>
      <c r="D193" s="9"/>
      <c r="E193" s="3"/>
      <c r="F193" s="3"/>
      <c r="G193" s="3"/>
      <c r="H193" s="3"/>
      <c r="I193" s="10"/>
      <c r="J193" s="11"/>
    </row>
    <row r="194" spans="1:10" x14ac:dyDescent="0.25">
      <c r="A194" s="7"/>
      <c r="B194" s="7"/>
      <c r="C194" s="7"/>
      <c r="D194" s="9"/>
      <c r="E194" s="3"/>
      <c r="F194" s="3"/>
      <c r="G194" s="3"/>
      <c r="H194" s="3"/>
      <c r="I194" s="10"/>
      <c r="J194" s="11"/>
    </row>
    <row r="195" spans="1:10" x14ac:dyDescent="0.25">
      <c r="A195" s="7"/>
      <c r="B195" s="7"/>
      <c r="C195" s="7"/>
      <c r="D195" s="9"/>
      <c r="E195" s="3"/>
      <c r="F195" s="3"/>
      <c r="G195" s="3"/>
      <c r="H195" s="3"/>
      <c r="I195" s="10"/>
      <c r="J195" s="11"/>
    </row>
    <row r="196" spans="1:10" x14ac:dyDescent="0.25">
      <c r="A196" s="7"/>
      <c r="B196" s="7"/>
      <c r="C196" s="7"/>
      <c r="D196" s="9"/>
      <c r="E196" s="3"/>
      <c r="F196" s="3"/>
      <c r="G196" s="3"/>
      <c r="H196" s="3"/>
      <c r="I196" s="10"/>
      <c r="J196" s="11"/>
    </row>
    <row r="197" spans="1:10" x14ac:dyDescent="0.25">
      <c r="A197" s="7"/>
      <c r="B197" s="7"/>
      <c r="C197" s="7"/>
      <c r="D197" s="9"/>
      <c r="E197" s="3"/>
      <c r="F197" s="3"/>
      <c r="G197" s="3"/>
      <c r="H197" s="3"/>
      <c r="I197" s="10"/>
      <c r="J197" s="11"/>
    </row>
    <row r="198" spans="1:10" x14ac:dyDescent="0.25">
      <c r="A198" s="7"/>
      <c r="B198" s="7"/>
      <c r="C198" s="7"/>
      <c r="D198" s="9"/>
      <c r="E198" s="3"/>
      <c r="F198" s="3"/>
      <c r="G198" s="3"/>
      <c r="H198" s="3"/>
      <c r="I198" s="10"/>
      <c r="J198" s="11"/>
    </row>
    <row r="199" spans="1:10" x14ac:dyDescent="0.25">
      <c r="A199" s="7"/>
      <c r="B199" s="7"/>
      <c r="C199" s="7"/>
      <c r="D199" s="9"/>
      <c r="E199" s="3"/>
      <c r="F199" s="3"/>
      <c r="G199" s="3"/>
      <c r="H199" s="3"/>
      <c r="I199" s="10"/>
      <c r="J199" s="11"/>
    </row>
    <row r="200" spans="1:10" x14ac:dyDescent="0.25">
      <c r="A200" s="7"/>
      <c r="B200" s="7"/>
      <c r="C200" s="7"/>
      <c r="D200" s="9"/>
      <c r="E200" s="3"/>
      <c r="F200" s="3"/>
      <c r="G200" s="3"/>
      <c r="H200" s="3"/>
      <c r="I200" s="10"/>
      <c r="J200" s="11"/>
    </row>
    <row r="201" spans="1:10" x14ac:dyDescent="0.25">
      <c r="A201" s="7"/>
      <c r="B201" s="7"/>
      <c r="C201" s="7"/>
      <c r="D201" s="9"/>
      <c r="E201" s="3"/>
      <c r="F201" s="3"/>
      <c r="G201" s="3"/>
      <c r="H201" s="3"/>
      <c r="I201" s="10"/>
      <c r="J201" s="11"/>
    </row>
    <row r="202" spans="1:10" x14ac:dyDescent="0.25">
      <c r="A202" s="7"/>
      <c r="B202" s="7"/>
      <c r="C202" s="7"/>
      <c r="D202" s="9"/>
      <c r="E202" s="3"/>
      <c r="F202" s="3"/>
      <c r="G202" s="3"/>
      <c r="H202" s="3"/>
      <c r="I202" s="10"/>
      <c r="J202" s="11"/>
    </row>
    <row r="203" spans="1:10" x14ac:dyDescent="0.25">
      <c r="A203" s="7"/>
      <c r="B203" s="7"/>
      <c r="C203" s="7"/>
      <c r="D203" s="9"/>
      <c r="E203" s="3"/>
      <c r="F203" s="3"/>
      <c r="G203" s="3"/>
      <c r="H203" s="3"/>
      <c r="I203" s="10"/>
      <c r="J203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CIEDES</dc:creator>
  <cp:lastModifiedBy>Manuel Álvarez</cp:lastModifiedBy>
  <dcterms:created xsi:type="dcterms:W3CDTF">2019-03-08T20:43:18Z</dcterms:created>
  <dcterms:modified xsi:type="dcterms:W3CDTF">2021-08-14T15:09:44Z</dcterms:modified>
</cp:coreProperties>
</file>